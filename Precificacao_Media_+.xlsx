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Resumo" sheetId="1" r:id="rId1"/>
    <sheet name="Calculadora" sheetId="2" r:id="rId2"/>
    <sheet name="Cadastro de Pontos" sheetId="3" r:id="rId3"/>
    <sheet name="Parâmetros" sheetId="4" r:id="rId4"/>
    <sheet name="Instruçõ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<sst xmlns="http://schemas.openxmlformats.org/spreadsheetml/2006/main" count="145" uniqueCount="111">
  <si>
    <t>Resumo da Rede de Mídia</t>
  </si>
  <si>
    <t>Indicadores calculados a partir dos pontos cadastrados com status Ativo.</t>
  </si>
  <si>
    <t>Pontos ativos</t>
  </si>
  <si>
    <t>Faturamento mensal (1 cota/ponto)</t>
  </si>
  <si>
    <t>Repasse mensal aos pontos</t>
  </si>
  <si>
    <t>Receita mensal Mídia Mais</t>
  </si>
  <si>
    <t>Distribuição por categoria</t>
  </si>
  <si>
    <t>TIER</t>
  </si>
  <si>
    <t>PONTOS ATIVOS</t>
  </si>
  <si>
    <t>COTAS MENSAIS</t>
  </si>
  <si>
    <t>RECEITA MÍDIA MAIS</t>
  </si>
  <si>
    <t>Tier Bronze</t>
  </si>
  <si>
    <t>Tier Prata</t>
  </si>
  <si>
    <t>Tier Ouro</t>
  </si>
  <si>
    <t>Leitura rápida: o Tier é definido pelo score ponderado de fluxo, tempo de espera, perfil do público e exclusividade da tela.</t>
  </si>
  <si>
    <t>Calculadora de Precificação por Ponto</t>
  </si>
  <si>
    <t>Preencha os campos em azul. A categoria, o valor da cota e a divisão de receita serão calculados automaticamente.</t>
  </si>
  <si>
    <t>Informações do estabelecimento</t>
  </si>
  <si>
    <t>Resultado da precificação</t>
  </si>
  <si>
    <t>Estabelecimento</t>
  </si>
  <si>
    <t/>
  </si>
  <si>
    <t>Score ponderado</t>
  </si>
  <si>
    <t>Cidade</t>
  </si>
  <si>
    <t>Categoria</t>
  </si>
  <si>
    <t>Segmento</t>
  </si>
  <si>
    <t>Cota mensal por anunciante</t>
  </si>
  <si>
    <t>Quantidade de telas</t>
  </si>
  <si>
    <t>Repasse por cota ao ponto</t>
  </si>
  <si>
    <t>Receita por cota Mídia Mais</t>
  </si>
  <si>
    <t>Avaliação dos critérios</t>
  </si>
  <si>
    <t>Capacidade de cotas</t>
  </si>
  <si>
    <t>CRITÉRIO</t>
  </si>
  <si>
    <t>SELEÇÃO</t>
  </si>
  <si>
    <t>NOTA</t>
  </si>
  <si>
    <t>Receita mensal potencial</t>
  </si>
  <si>
    <t>Volume de fluxo diário</t>
  </si>
  <si>
    <t>Tempo médio de espera</t>
  </si>
  <si>
    <t>Poder aquisitivo / perfil</t>
  </si>
  <si>
    <t>Exclusividade / ruído visual</t>
  </si>
  <si>
    <t>Cadastro de Pontos de Mídia</t>
  </si>
  <si>
    <t>Preencha ou importe os dados nas colunas azuis. As colunas verdes são calculadas automaticamente. O resumo considera somente pontos com status Ativo.</t>
  </si>
  <si>
    <t>ID PONTO</t>
  </si>
  <si>
    <t>ESTABELECIMENTO</t>
  </si>
  <si>
    <t>CIDADE</t>
  </si>
  <si>
    <t>SEGMENTO</t>
  </si>
  <si>
    <t>FLUXO DIÁRIO</t>
  </si>
  <si>
    <t>NOTA FLUXO</t>
  </si>
  <si>
    <t>TEMPO MÉDIO DE ESPERA</t>
  </si>
  <si>
    <t>NOTA TEMPO</t>
  </si>
  <si>
    <t>PERFIL DO PÚBLICO</t>
  </si>
  <si>
    <t>NOTA PERFIL</t>
  </si>
  <si>
    <t>EXCLUSIVIDADE / RUÍDO</t>
  </si>
  <si>
    <t>NOTA EXCLUSIVIDADE</t>
  </si>
  <si>
    <t>SCORE PONDERADO</t>
  </si>
  <si>
    <t>COTA MENSAL</t>
  </si>
  <si>
    <t>REPASSE AO PONTO (50%)</t>
  </si>
  <si>
    <t>MÍDIA MAIS (50%)</t>
  </si>
  <si>
    <t>STATUS</t>
  </si>
  <si>
    <t>P-001</t>
  </si>
  <si>
    <t>Clínica OdontoCenter</t>
  </si>
  <si>
    <t>Tubarão</t>
  </si>
  <si>
    <t>Clínica odontológica</t>
  </si>
  <si>
    <t>51 a 100 pessoas / dia</t>
  </si>
  <si>
    <t>Mais de 30 minutos</t>
  </si>
  <si>
    <t>Classes B e C+ (consumo ativo)</t>
  </si>
  <si>
    <t>Ambiente silencioso / visão frontal total</t>
  </si>
  <si>
    <t>Ativo</t>
  </si>
  <si>
    <t>Parâmetros de Precificação</t>
  </si>
  <si>
    <t>Altere somente as células em amarelo. As fórmulas da calculadora e do cadastro usam estes parâmetros automaticamente.</t>
  </si>
  <si>
    <t>Pesos dos critérios</t>
  </si>
  <si>
    <t>PESO</t>
  </si>
  <si>
    <t>Total dos pesos</t>
  </si>
  <si>
    <t>Fluxo diário</t>
  </si>
  <si>
    <t>Exclusividade e ruído visual</t>
  </si>
  <si>
    <t>Categorias e preços</t>
  </si>
  <si>
    <t>FAIXA</t>
  </si>
  <si>
    <t>PONTUAÇÃO MÍNIMA</t>
  </si>
  <si>
    <t>REPASSE AO PONTO</t>
  </si>
  <si>
    <t>MÍDIA MAIS</t>
  </si>
  <si>
    <t>10 a 30 pessoas / dia</t>
  </si>
  <si>
    <t>Até 5 minutos</t>
  </si>
  <si>
    <t>Predominância Classes D / E</t>
  </si>
  <si>
    <t>Ambiente ruidoso / TV mal posicionada</t>
  </si>
  <si>
    <t>31 a 50 pessoas / dia</t>
  </si>
  <si>
    <t>6 a 15 minutos</t>
  </si>
  <si>
    <t>Predominância Classe C</t>
  </si>
  <si>
    <t>Ruído moderado / TV visível de alguns ângulos</t>
  </si>
  <si>
    <t>16 a 30 minutos</t>
  </si>
  <si>
    <t>Ambiente agradável / TV centralizada e visível</t>
  </si>
  <si>
    <t>Mais de 100 pessoas / dia</t>
  </si>
  <si>
    <t>Público Premium / Classes A e B</t>
  </si>
  <si>
    <t>Faixas aplicadas: Bronze de 2,50 a 3,30; Prata de 3,31 a 4,20; Ouro de 4,21 a 5,00.</t>
  </si>
  <si>
    <t>O repasse considera divisão de 50% da receita de cada cota.</t>
  </si>
  <si>
    <t>Como usar a planilha</t>
  </si>
  <si>
    <t>ETAPA</t>
  </si>
  <si>
    <t>ORIENTAÇÃO</t>
  </si>
  <si>
    <t>1. Ajuste os parâmetros</t>
  </si>
  <si>
    <t>Na aba Parâmetros, revise pesos, notas e preços. As células amarelas podem ser alteradas.</t>
  </si>
  <si>
    <t>2. Simule um ponto</t>
  </si>
  <si>
    <t>Use a aba Calculadora para avaliar um estabelecimento antes de cadastrá-lo. Preencha apenas os campos azuis.</t>
  </si>
  <si>
    <t>3. Cadastre os pontos</t>
  </si>
  <si>
    <t>Na aba Cadastro de Pontos, inclua um estabelecimento por linha. As colunas verdes calculam notas, score, tier, preço e split.</t>
  </si>
  <si>
    <t>4. Consulte o resumo</t>
  </si>
  <si>
    <t>A aba Resumo mostra os pontos ativos e o potencial mensal de receita considerando uma cota por ponto.</t>
  </si>
  <si>
    <t>Regra de classificação</t>
  </si>
  <si>
    <t>Bronze: 2,50 a 3,30. Prata: 3,31 a 4,20. Ouro: 4,21 a 5,00.</t>
  </si>
  <si>
    <t>Critérios usados no cálculo</t>
  </si>
  <si>
    <t>Peso de 30%</t>
  </si>
  <si>
    <t>Peso de 35%</t>
  </si>
  <si>
    <t>Peso de 20%</t>
  </si>
  <si>
    <t>Peso de 15%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</si>
</sst>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"/>
  </numFmts>
  <fonts count="24">
    <font>
      <sz val="11"/>
      <name val="Carlito"/>
      <charset val="134"/>
    </font>
    <font>
      <b/>
      <sz val="10"/>
      <color rgb="FF1F2937"/>
      <name val="Arial"/>
      <charset val="134"/>
    </font>
    <font>
      <sz val="10"/>
      <color rgb="FF1F2937"/>
      <name val="Arial"/>
      <charset val="134"/>
    </font>
    <font>
      <i/>
      <sz val="10"/>
      <color rgb="FF1F2937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3" tint="0.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C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10" borderId="9" applyNumberFormat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11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vertical="center"/>
    </xf>
    <xf numFmtId="0" fontId="2" fillId="0" borderId="2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/>
    </xf>
    <xf numFmtId="0" fontId="2" fillId="0" borderId="2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9" fontId="2" fillId="5" borderId="2" xfId="0" applyNumberFormat="1" applyFont="1" applyFill="1" applyBorder="1" applyAlignment="1">
      <alignment vertical="center"/>
    </xf>
    <xf numFmtId="9" fontId="1" fillId="3" borderId="2" xfId="0" applyNumberFormat="1" applyFont="1" applyFill="1" applyBorder="1" applyAlignment="1">
      <alignment vertical="center"/>
    </xf>
    <xf numFmtId="0" fontId="2" fillId="5" borderId="2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2" fontId="2" fillId="5" borderId="2" xfId="0" applyNumberFormat="1" applyFont="1" applyFill="1" applyBorder="1" applyAlignment="1">
      <alignment vertical="center"/>
    </xf>
    <xf numFmtId="180" fontId="2" fillId="5" borderId="2" xfId="0" applyNumberFormat="1" applyFont="1" applyFill="1" applyBorder="1" applyAlignment="1">
      <alignment vertical="center"/>
    </xf>
    <xf numFmtId="0" fontId="2" fillId="6" borderId="0" xfId="0" applyNumberFormat="1" applyFont="1" applyFill="1" applyBorder="1" applyAlignment="1">
      <alignment vertical="center"/>
    </xf>
    <xf numFmtId="0" fontId="2" fillId="7" borderId="0" xfId="0" applyNumberFormat="1" applyFont="1" applyFill="1" applyBorder="1" applyAlignment="1">
      <alignment vertical="center"/>
    </xf>
    <xf numFmtId="2" fontId="2" fillId="7" borderId="0" xfId="0" applyNumberFormat="1" applyFont="1" applyFill="1" applyBorder="1" applyAlignment="1">
      <alignment vertical="center"/>
    </xf>
    <xf numFmtId="180" fontId="2" fillId="7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6" borderId="2" xfId="0" applyNumberFormat="1" applyFont="1" applyFill="1" applyBorder="1" applyAlignment="1">
      <alignment vertical="center"/>
    </xf>
    <xf numFmtId="2" fontId="1" fillId="7" borderId="2" xfId="0" applyNumberFormat="1" applyFont="1" applyFill="1" applyBorder="1" applyAlignment="1">
      <alignment vertical="center"/>
    </xf>
    <xf numFmtId="0" fontId="1" fillId="7" borderId="2" xfId="0" applyNumberFormat="1" applyFont="1" applyFill="1" applyBorder="1" applyAlignment="1">
      <alignment vertical="center"/>
    </xf>
    <xf numFmtId="180" fontId="1" fillId="7" borderId="2" xfId="0" applyNumberFormat="1" applyFont="1" applyFill="1" applyBorder="1" applyAlignment="1">
      <alignment vertical="center"/>
    </xf>
    <xf numFmtId="0" fontId="1" fillId="6" borderId="2" xfId="0" applyNumberFormat="1" applyFont="1" applyFill="1" applyBorder="1" applyAlignment="1">
      <alignment vertical="center"/>
    </xf>
    <xf numFmtId="0" fontId="1" fillId="7" borderId="2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1" fillId="6" borderId="3" xfId="0" applyNumberFormat="1" applyFont="1" applyFill="1" applyBorder="1" applyAlignment="1">
      <alignment horizontal="center" vertical="center"/>
    </xf>
    <xf numFmtId="0" fontId="1" fillId="6" borderId="4" xfId="0" applyNumberFormat="1" applyFont="1" applyFill="1" applyBorder="1" applyAlignment="1">
      <alignment horizontal="center" vertical="center"/>
    </xf>
    <xf numFmtId="180" fontId="1" fillId="6" borderId="3" xfId="0" applyNumberFormat="1" applyFont="1" applyFill="1" applyBorder="1" applyAlignment="1">
      <alignment horizontal="center" vertical="center"/>
    </xf>
    <xf numFmtId="180" fontId="2" fillId="0" borderId="2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20">
    <dxf>
      <font>
        <b val="1"/>
        <color rgb="FF8A4B20"/>
      </font>
      <fill>
        <patternFill patternType="solid">
          <bgColor rgb="FFFCE4D6"/>
        </patternFill>
      </fill>
    </dxf>
    <dxf>
      <font>
        <b val="1"/>
        <color rgb="FF5B6573"/>
      </font>
      <fill>
        <patternFill patternType="solid">
          <bgColor rgb="FFE7E6E6"/>
        </patternFill>
      </fill>
    </dxf>
    <dxf>
      <font>
        <b val="1"/>
        <color rgb="FF9A67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pt-BR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Pontos ativos por categoria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"PONTOS ATIVOS"</c:f>
              <c:strCache>
                <c:ptCount val="1"/>
                <c:pt idx="0">
                  <c:v>PONTOS ATIVOS</c:v>
                </c:pt>
              </c:strCache>
            </c:strRef>
          </c:tx>
          <c:invertIfNegative val="0"/>
          <c:dLbls>
            <c:delete val="1"/>
          </c:dLbls>
          <c:cat>
            <c:strRef>
              <c:f>Resumo!$A$12:$A$14</c:f>
              <c:strCache>
                <c:ptCount val="3"/>
                <c:pt idx="0">
                  <c:v>Tier Bronze</c:v>
                </c:pt>
                <c:pt idx="1">
                  <c:v>Tier Prata</c:v>
                </c:pt>
                <c:pt idx="2">
                  <c:v>Tier Ouro</c:v>
                </c:pt>
              </c:strCache>
            </c:strRef>
          </c:cat>
          <c:val>
            <c:numRef>
              <c:f>Resumo!$B$12:$B$14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9</xdr:row>
      <xdr:rowOff>0</xdr:rowOff>
    </xdr:from>
    <xdr:to>
      <xdr:col>12</xdr:col>
      <xdr:colOff>0</xdr:colOff>
      <xdr:row>25</xdr:row>
      <xdr:rowOff>0</xdr:rowOff>
    </xdr:to>
    <xdr:graphicFrame>
      <xdr:nvGraphicFramePr>
        <xdr:cNvPr id="2" name="Chart"/>
        <xdr:cNvGraphicFramePr/>
      </xdr:nvGraphicFramePr>
      <xdr:xfrm>
        <a:off x="7086600" y="1927225"/>
        <a:ext cx="8001000" cy="289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adastroPontos" displayName="CadastroPontos" ref="A5:R305" totalsRowShown="0">
  <tableColumns count="18">
    <tableColumn id="1" name="ID PONTO"/>
    <tableColumn id="2" name="ESTABELECIMENTO"/>
    <tableColumn id="3" name="CIDADE"/>
    <tableColumn id="4" name="SEGMENTO"/>
    <tableColumn id="5" name="FLUXO DIÁRIO"/>
    <tableColumn id="6" name="NOTA FLUXO"/>
    <tableColumn id="7" name="TEMPO MÉDIO DE ESPERA"/>
    <tableColumn id="8" name="NOTA TEMPO"/>
    <tableColumn id="9" name="PERFIL DO PÚBLICO"/>
    <tableColumn id="10" name="NOTA PERFIL"/>
    <tableColumn id="11" name="EXCLUSIVIDADE / RUÍDO"/>
    <tableColumn id="12" name="NOTA EXCLUSIVIDADE"/>
    <tableColumn id="13" name="SCORE PONDERADO"/>
    <tableColumn id="14" name="TIER"/>
    <tableColumn id="15" name="COTA MENSAL"/>
    <tableColumn id="16" name="REPASSE AO PONTO (50%)"/>
    <tableColumn id="17" name="MÍDIA MAIS (50%)"/>
    <tableColumn id="18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7365D"/>
  </sheetPr>
  <dimension ref="A2:L16"/>
  <sheetViews>
    <sheetView showGridLines="0" tabSelected="1" workbookViewId="0">
      <selection activeCell="A6" sqref="A6"/>
    </sheetView>
  </sheetViews>
  <sheetFormatPr defaultColWidth="9" defaultRowHeight="14.25"/>
  <cols>
    <col min="1" max="1" width="24" customWidth="1"/>
    <col min="2" max="2" width="16" customWidth="1"/>
    <col min="3" max="4" width="19" customWidth="1"/>
    <col min="5" max="12" width="15" customWidth="1"/>
  </cols>
  <sheetData>
    <row r="2" spans="1:1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8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26" customHeight="1" spans="1:12">
      <c r="A6" s="2"/>
      <c r="B6" s="26" t="s">
        <v>2</v>
      </c>
      <c r="C6" s="26" t="s">
        <v>2</v>
      </c>
      <c r="D6" s="2"/>
      <c r="E6" s="26" t="s">
        <v>3</v>
      </c>
      <c r="F6" s="26" t="s">
        <v>3</v>
      </c>
      <c r="G6" s="2"/>
      <c r="H6" s="26" t="s">
        <v>4</v>
      </c>
      <c r="I6" s="26" t="s">
        <v>4</v>
      </c>
      <c r="J6" s="2"/>
      <c r="K6" s="26" t="s">
        <v>5</v>
      </c>
      <c r="L6" s="26" t="s">
        <v>5</v>
      </c>
    </row>
    <row r="7" ht="26" customHeight="1" spans="1:12">
      <c r="A7" s="2"/>
      <c r="B7" s="27">
        <f>COUNTIF('Cadastro de Pontos'!$R$6:$R$305,"Ativo")</f>
        <v>1</v>
      </c>
      <c r="C7" s="28"/>
      <c r="D7" s="12"/>
      <c r="E7" s="29" t="e">
        <f>SUMPRODUCT(('Cadastro de Pontos'!$R$6:$R$305="Ativo")*'Cadastro de Pontos'!$O$6:$O$305)</f>
        <v>#VALUE!</v>
      </c>
      <c r="F7" s="28"/>
      <c r="G7" s="2"/>
      <c r="H7" s="29" t="e">
        <f>SUMPRODUCT(('Cadastro de Pontos'!$R$6:$R$305="Ativo")*'Cadastro de Pontos'!$P$6:$P$305)</f>
        <v>#VALUE!</v>
      </c>
      <c r="I7" s="28"/>
      <c r="J7" s="2"/>
      <c r="K7" s="29" t="e">
        <f>SUMPRODUCT(('Cadastro de Pontos'!$R$6:$R$305="Ativo")*'Cadastro de Pontos'!$Q$6:$Q$305)</f>
        <v>#VALUE!</v>
      </c>
      <c r="L7" s="28"/>
    </row>
    <row r="8" spans="1:1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6" t="s">
        <v>6</v>
      </c>
      <c r="B10" s="6"/>
      <c r="C10" s="6"/>
      <c r="D10" s="6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7</v>
      </c>
      <c r="B11" s="3" t="s">
        <v>8</v>
      </c>
      <c r="C11" s="3" t="s">
        <v>9</v>
      </c>
      <c r="D11" s="3" t="s">
        <v>10</v>
      </c>
      <c r="E11" s="2"/>
      <c r="F11" s="2"/>
      <c r="G11" s="2"/>
      <c r="H11" s="2"/>
      <c r="I11" s="2"/>
      <c r="J11" s="2"/>
      <c r="K11" s="2"/>
      <c r="L11" s="2"/>
    </row>
    <row r="12" spans="1:12">
      <c r="A12" s="7" t="s">
        <v>11</v>
      </c>
      <c r="B12" s="7">
        <f>COUNTIFS('Cadastro de Pontos'!$N$6:$N$305,A12,'Cadastro de Pontos'!$R$6:$R$305,"Ativo")</f>
        <v>0</v>
      </c>
      <c r="C12" s="30">
        <f>SUMIFS('Cadastro de Pontos'!$O$6:$O$305,'Cadastro de Pontos'!$N$6:$N$305,A12,'Cadastro de Pontos'!$R$6:$R$305,"Ativo")</f>
        <v>0</v>
      </c>
      <c r="D12" s="30">
        <f>SUMIFS('Cadastro de Pontos'!$Q$6:$Q$305,'Cadastro de Pontos'!$N$6:$N$305,A12,'Cadastro de Pontos'!$R$6:$R$305,"Ativo")</f>
        <v>0</v>
      </c>
      <c r="E12" s="2"/>
      <c r="F12" s="2"/>
      <c r="G12" s="2"/>
      <c r="H12" s="2"/>
      <c r="I12" s="2"/>
      <c r="J12" s="2"/>
      <c r="K12" s="2"/>
      <c r="L12" s="2"/>
    </row>
    <row r="13" spans="1:12">
      <c r="A13" s="7" t="s">
        <v>12</v>
      </c>
      <c r="B13" s="7">
        <f>COUNTIFS('Cadastro de Pontos'!$N$6:$N$305,A13,'Cadastro de Pontos'!$R$6:$R$305,"Ativo")</f>
        <v>0</v>
      </c>
      <c r="C13" s="30">
        <f>SUMIFS('Cadastro de Pontos'!$O$6:$O$305,'Cadastro de Pontos'!$N$6:$N$305,A13,'Cadastro de Pontos'!$R$6:$R$305,"Ativo")</f>
        <v>0</v>
      </c>
      <c r="D13" s="30">
        <f>SUMIFS('Cadastro de Pontos'!$Q$6:$Q$305,'Cadastro de Pontos'!$N$6:$N$305,A13,'Cadastro de Pontos'!$R$6:$R$305,"Ativo")</f>
        <v>0</v>
      </c>
      <c r="E13" s="2"/>
      <c r="F13" s="2"/>
      <c r="G13" s="2"/>
      <c r="H13" s="2"/>
      <c r="I13" s="2"/>
      <c r="J13" s="2"/>
      <c r="K13" s="2"/>
      <c r="L13" s="2"/>
    </row>
    <row r="14" spans="1:12">
      <c r="A14" s="7" t="s">
        <v>13</v>
      </c>
      <c r="B14" s="7">
        <f>COUNTIFS('Cadastro de Pontos'!$N$6:$N$305,A14,'Cadastro de Pontos'!$R$6:$R$305,"Ativo")</f>
        <v>1</v>
      </c>
      <c r="C14" s="30">
        <f>SUMIFS('Cadastro de Pontos'!$O$6:$O$305,'Cadastro de Pontos'!$N$6:$N$305,A14,'Cadastro de Pontos'!$R$6:$R$305,"Ativo")</f>
        <v>249</v>
      </c>
      <c r="D14" s="30">
        <f>SUMIFS('Cadastro de Pontos'!$Q$6:$Q$305,'Cadastro de Pontos'!$N$6:$N$305,A14,'Cadastro de Pontos'!$R$6:$R$305,"Ativo")</f>
        <v>124.5</v>
      </c>
      <c r="E14" s="2"/>
      <c r="F14" s="2"/>
      <c r="G14" s="2"/>
      <c r="H14" s="2"/>
      <c r="I14" s="2"/>
      <c r="J14" s="2"/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8" t="s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</sheetData>
  <mergeCells count="8">
    <mergeCell ref="B6:C6"/>
    <mergeCell ref="E6:F6"/>
    <mergeCell ref="H6:I6"/>
    <mergeCell ref="K6:L6"/>
    <mergeCell ref="B7:C7"/>
    <mergeCell ref="E7:F7"/>
    <mergeCell ref="H7:I7"/>
    <mergeCell ref="K7:L7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F766E"/>
  </sheetPr>
  <dimension ref="A2:F16"/>
  <sheetViews>
    <sheetView showGridLines="0" workbookViewId="0">
      <selection activeCell="C33" sqref="C33"/>
    </sheetView>
  </sheetViews>
  <sheetFormatPr defaultColWidth="9" defaultRowHeight="14.25" outlineLevelCol="5"/>
  <cols>
    <col min="1" max="1" width="28" customWidth="1"/>
    <col min="2" max="2" width="37" customWidth="1"/>
    <col min="3" max="3" width="12" customWidth="1"/>
    <col min="4" max="4" width="4" customWidth="1"/>
    <col min="5" max="5" width="28" customWidth="1"/>
    <col min="6" max="6" width="18" customWidth="1"/>
  </cols>
  <sheetData>
    <row r="2" spans="1:6">
      <c r="A2" s="1" t="s">
        <v>15</v>
      </c>
      <c r="B2" s="2"/>
      <c r="C2" s="2"/>
      <c r="D2" s="2"/>
      <c r="E2" s="2"/>
      <c r="F2" s="2"/>
    </row>
    <row r="3" spans="1:6">
      <c r="A3" s="8" t="s">
        <v>16</v>
      </c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6" t="s">
        <v>17</v>
      </c>
      <c r="B5" s="6"/>
      <c r="C5" s="6"/>
      <c r="D5" s="2"/>
      <c r="E5" s="19" t="s">
        <v>18</v>
      </c>
      <c r="F5" s="19"/>
    </row>
    <row r="6" spans="1:6">
      <c r="A6" s="4" t="s">
        <v>19</v>
      </c>
      <c r="B6" s="20" t="s">
        <v>20</v>
      </c>
      <c r="C6" s="2"/>
      <c r="D6" s="2"/>
      <c r="E6" s="4" t="s">
        <v>21</v>
      </c>
      <c r="F6" s="21" t="str">
        <f>IF(COUNTA(B13:B16)&lt;4,"",C13*Parâmetros!$B$7+C14*Parâmetros!$B$8+C15*Parâmetros!$B$9+C16*Parâmetros!$B$10)</f>
        <v/>
      </c>
    </row>
    <row r="7" spans="1:6">
      <c r="A7" s="4" t="s">
        <v>22</v>
      </c>
      <c r="B7" s="20" t="s">
        <v>20</v>
      </c>
      <c r="C7" s="2"/>
      <c r="D7" s="2"/>
      <c r="E7" s="4" t="s">
        <v>23</v>
      </c>
      <c r="F7" s="22" t="str">
        <f>IF(F6="","",IFERROR(VLOOKUP(F6,Parâmetros!$M$15:$O$17,2,TRUE),""))</f>
        <v/>
      </c>
    </row>
    <row r="8" spans="1:6">
      <c r="A8" s="4" t="s">
        <v>24</v>
      </c>
      <c r="B8" s="20" t="s">
        <v>20</v>
      </c>
      <c r="C8" s="2"/>
      <c r="D8" s="2"/>
      <c r="E8" s="4" t="s">
        <v>25</v>
      </c>
      <c r="F8" s="23" t="str">
        <f>IF(F7="","",VLOOKUP(F7,Parâmetros!$N$15:$O$17,2,FALSE))</f>
        <v/>
      </c>
    </row>
    <row r="9" spans="1:6">
      <c r="A9" s="4" t="s">
        <v>26</v>
      </c>
      <c r="B9" s="20">
        <v>1</v>
      </c>
      <c r="C9" s="2"/>
      <c r="D9" s="2"/>
      <c r="E9" s="4" t="s">
        <v>27</v>
      </c>
      <c r="F9" s="23" t="str">
        <f>IF(F8="","",F8*VLOOKUP(F7,Parâmetros!$N$15:$P$17,3,FALSE))</f>
        <v/>
      </c>
    </row>
    <row r="10" spans="1:6">
      <c r="A10" s="2"/>
      <c r="B10" s="2"/>
      <c r="C10" s="2"/>
      <c r="D10" s="2"/>
      <c r="E10" s="4" t="s">
        <v>28</v>
      </c>
      <c r="F10" s="23" t="str">
        <f>IF(F8="","",F8*VLOOKUP(F7,Parâmetros!$N$15:$Q$17,4,FALSE))</f>
        <v/>
      </c>
    </row>
    <row r="11" spans="1:6">
      <c r="A11" s="6" t="s">
        <v>29</v>
      </c>
      <c r="B11" s="6"/>
      <c r="C11" s="6"/>
      <c r="D11" s="2"/>
      <c r="E11" s="4" t="s">
        <v>30</v>
      </c>
      <c r="F11" s="24">
        <v>8</v>
      </c>
    </row>
    <row r="12" spans="1:6">
      <c r="A12" s="3" t="s">
        <v>31</v>
      </c>
      <c r="B12" s="3" t="s">
        <v>32</v>
      </c>
      <c r="C12" s="3" t="s">
        <v>33</v>
      </c>
      <c r="D12" s="2"/>
      <c r="E12" s="4" t="s">
        <v>34</v>
      </c>
      <c r="F12" s="23" t="str">
        <f>IF(F8="","",F8*F11*B9)</f>
        <v/>
      </c>
    </row>
    <row r="13" spans="1:6">
      <c r="A13" s="4" t="s">
        <v>35</v>
      </c>
      <c r="B13" s="20"/>
      <c r="C13" s="25" t="str">
        <f>IFERROR(VLOOKUP(B13,Parâmetros!$A$15:$B$18,2,FALSE),"")</f>
        <v/>
      </c>
      <c r="D13" s="2"/>
      <c r="E13" s="2"/>
      <c r="F13" s="2"/>
    </row>
    <row r="14" spans="1:6">
      <c r="A14" s="4" t="s">
        <v>36</v>
      </c>
      <c r="B14" s="20"/>
      <c r="C14" s="25" t="str">
        <f>IFERROR(VLOOKUP(B14,Parâmetros!$D$15:$E$18,2,FALSE),"")</f>
        <v/>
      </c>
      <c r="D14" s="2"/>
      <c r="E14" s="2"/>
      <c r="F14" s="2"/>
    </row>
    <row r="15" spans="1:6">
      <c r="A15" s="4" t="s">
        <v>37</v>
      </c>
      <c r="B15" s="20"/>
      <c r="C15" s="25" t="str">
        <f>IFERROR(VLOOKUP(B15,Parâmetros!$G$15:$H$18,2,FALSE),"")</f>
        <v/>
      </c>
      <c r="D15" s="2"/>
      <c r="E15" s="2"/>
      <c r="F15" s="2"/>
    </row>
    <row r="16" spans="1:6">
      <c r="A16" s="4" t="s">
        <v>38</v>
      </c>
      <c r="B16" s="20"/>
      <c r="C16" s="25" t="str">
        <f>IFERROR(VLOOKUP(B16,Parâmetros!$J$15:$K$18,2,FALSE),"")</f>
        <v/>
      </c>
      <c r="D16" s="2"/>
      <c r="E16" s="2"/>
      <c r="F16" s="2"/>
    </row>
  </sheetData>
  <dataValidations count="5">
    <dataValidation type="whole" operator="between" sqref="B9">
      <formula1>1</formula1>
      <formula2>20</formula2>
    </dataValidation>
    <dataValidation type="list" sqref="B13">
      <formula1>Parâmetros!$A$15:$A$18</formula1>
    </dataValidation>
    <dataValidation type="list" sqref="B14">
      <formula1>Parâmetros!$D$15:$D$18</formula1>
    </dataValidation>
    <dataValidation type="list" sqref="B15">
      <formula1>Parâmetros!$G$15:$G$18</formula1>
    </dataValidation>
    <dataValidation type="list" sqref="B16">
      <formula1>Parâmetros!$J$15:$J$18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D32"/>
  </sheetPr>
  <dimension ref="A2:R305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B31" sqref="B31"/>
    </sheetView>
  </sheetViews>
  <sheetFormatPr defaultColWidth="9" defaultRowHeight="14.25"/>
  <cols>
    <col min="1" max="1" width="12" customWidth="1"/>
    <col min="2" max="2" width="28" customWidth="1"/>
    <col min="3" max="3" width="18" customWidth="1"/>
    <col min="4" max="4" width="24" customWidth="1"/>
    <col min="5" max="5" width="25" customWidth="1"/>
    <col min="6" max="6" width="12" customWidth="1"/>
    <col min="7" max="7" width="23" customWidth="1"/>
    <col min="8" max="8" width="12" customWidth="1"/>
    <col min="9" max="9" width="30" customWidth="1"/>
    <col min="10" max="10" width="12" customWidth="1"/>
    <col min="11" max="11" width="35" customWidth="1"/>
    <col min="12" max="12" width="15" customWidth="1"/>
    <col min="13" max="13" width="16" customWidth="1"/>
    <col min="14" max="14" width="15" customWidth="1"/>
    <col min="15" max="17" width="18" customWidth="1"/>
    <col min="18" max="18" width="16" customWidth="1"/>
  </cols>
  <sheetData>
    <row r="2" spans="1:18">
      <c r="A2" s="1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8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ht="25.5" spans="1:18">
      <c r="A5" s="3" t="s">
        <v>41</v>
      </c>
      <c r="B5" s="3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48</v>
      </c>
      <c r="I5" s="3" t="s">
        <v>49</v>
      </c>
      <c r="J5" s="3" t="s">
        <v>50</v>
      </c>
      <c r="K5" s="3" t="s">
        <v>51</v>
      </c>
      <c r="L5" s="3" t="s">
        <v>52</v>
      </c>
      <c r="M5" s="3" t="s">
        <v>53</v>
      </c>
      <c r="N5" s="3" t="s">
        <v>7</v>
      </c>
      <c r="O5" s="3" t="s">
        <v>54</v>
      </c>
      <c r="P5" s="3" t="s">
        <v>55</v>
      </c>
      <c r="Q5" s="3" t="s">
        <v>56</v>
      </c>
      <c r="R5" s="3" t="s">
        <v>57</v>
      </c>
    </row>
    <row r="6" spans="1:18">
      <c r="A6" s="15" t="s">
        <v>58</v>
      </c>
      <c r="B6" s="15" t="s">
        <v>59</v>
      </c>
      <c r="C6" s="15" t="s">
        <v>60</v>
      </c>
      <c r="D6" s="15" t="s">
        <v>61</v>
      </c>
      <c r="E6" s="15" t="s">
        <v>62</v>
      </c>
      <c r="F6" s="16">
        <f>IFERROR(VLOOKUP(E6,Parâmetros!$A$15:$B$18,2,FALSE),"")</f>
        <v>4.5</v>
      </c>
      <c r="G6" s="16" t="s">
        <v>63</v>
      </c>
      <c r="H6" s="16">
        <f>IFERROR(VLOOKUP(G6,Parâmetros!$D$15:$E$18,2,FALSE),"")</f>
        <v>5</v>
      </c>
      <c r="I6" s="16" t="s">
        <v>64</v>
      </c>
      <c r="J6" s="16">
        <f>IFERROR(VLOOKUP(I6,Parâmetros!$G$15:$H$18,2,FALSE),"")</f>
        <v>4.5</v>
      </c>
      <c r="K6" s="16" t="s">
        <v>65</v>
      </c>
      <c r="L6" s="16">
        <f>IFERROR(VLOOKUP(K6,Parâmetros!$J$15:$K$18,2,FALSE),"")</f>
        <v>5</v>
      </c>
      <c r="M6" s="17">
        <f>IF(COUNTA(E6,G6,I6,K6)&lt;4,"",F6*Parâmetros!$B$7+H6*Parâmetros!$B$8+J6*Parâmetros!$B$9+L6*Parâmetros!$B$10)</f>
        <v>4.75</v>
      </c>
      <c r="N6" s="16" t="str">
        <f>IF(M6="","",IFERROR(VLOOKUP(M6,Parâmetros!$M$15:$O$17,2,TRUE),""))</f>
        <v>Tier Ouro</v>
      </c>
      <c r="O6" s="18">
        <f>IF(N6="","",VLOOKUP(N6,Parâmetros!$N$15:$O$17,2,FALSE))</f>
        <v>249</v>
      </c>
      <c r="P6" s="18">
        <f>IF(O6="","",O6*VLOOKUP(N6,Parâmetros!$N$15:$P$17,3,FALSE))</f>
        <v>124.5</v>
      </c>
      <c r="Q6" s="18">
        <f>IF(O6="","",O6*VLOOKUP(N6,Parâmetros!$N$15:$Q$17,4,FALSE))</f>
        <v>124.5</v>
      </c>
      <c r="R6" s="15" t="s">
        <v>66</v>
      </c>
    </row>
    <row r="7" spans="1:18">
      <c r="A7" s="15"/>
      <c r="B7" s="15"/>
      <c r="C7" s="15"/>
      <c r="D7" s="15"/>
      <c r="E7" s="15"/>
      <c r="F7" s="16" t="str">
        <f>IFERROR(VLOOKUP(E7,Parâmetros!$A$15:$B$18,2,FALSE),"")</f>
        <v/>
      </c>
      <c r="G7" s="16"/>
      <c r="H7" s="16" t="str">
        <f>IFERROR(VLOOKUP(G7,Parâmetros!$D$15:$E$18,2,FALSE),"")</f>
        <v/>
      </c>
      <c r="I7" s="16"/>
      <c r="J7" s="16" t="str">
        <f>IFERROR(VLOOKUP(I7,Parâmetros!$G$15:$H$18,2,FALSE),"")</f>
        <v/>
      </c>
      <c r="K7" s="16"/>
      <c r="L7" s="16" t="str">
        <f>IFERROR(VLOOKUP(K7,Parâmetros!$J$15:$K$18,2,FALSE),"")</f>
        <v/>
      </c>
      <c r="M7" s="17" t="str">
        <f>IF(COUNTA(E7,G7,I7,K7)&lt;4,"",F7*Parâmetros!$B$7+H7*Parâmetros!$B$8+J7*Parâmetros!$B$9+L7*Parâmetros!$B$10)</f>
        <v/>
      </c>
      <c r="N7" s="16" t="str">
        <f>IF(M7="","",IFERROR(VLOOKUP(M7,Parâmetros!$M$15:$O$17,2,TRUE),""))</f>
        <v/>
      </c>
      <c r="O7" s="18" t="str">
        <f>IF(N7="","",VLOOKUP(N7,Parâmetros!$N$15:$O$17,2,FALSE))</f>
        <v/>
      </c>
      <c r="P7" s="18" t="str">
        <f>IF(O7="","",O7*VLOOKUP(N7,Parâmetros!$N$15:$P$17,3,FALSE))</f>
        <v/>
      </c>
      <c r="Q7" s="18" t="str">
        <f>IF(O7="","",O7*VLOOKUP(N7,Parâmetros!$N$15:$Q$17,4,FALSE))</f>
        <v/>
      </c>
      <c r="R7" s="15"/>
    </row>
    <row r="8" spans="1:18">
      <c r="A8" s="15"/>
      <c r="B8" s="15"/>
      <c r="C8" s="15"/>
      <c r="D8" s="15"/>
      <c r="E8" s="15"/>
      <c r="F8" s="16" t="str">
        <f>IFERROR(VLOOKUP(E8,Parâmetros!$A$15:$B$18,2,FALSE),"")</f>
        <v/>
      </c>
      <c r="G8" s="16"/>
      <c r="H8" s="16" t="str">
        <f>IFERROR(VLOOKUP(G8,Parâmetros!$D$15:$E$18,2,FALSE),"")</f>
        <v/>
      </c>
      <c r="I8" s="16"/>
      <c r="J8" s="16" t="str">
        <f>IFERROR(VLOOKUP(I8,Parâmetros!$G$15:$H$18,2,FALSE),"")</f>
        <v/>
      </c>
      <c r="K8" s="16"/>
      <c r="L8" s="16" t="str">
        <f>IFERROR(VLOOKUP(K8,Parâmetros!$J$15:$K$18,2,FALSE),"")</f>
        <v/>
      </c>
      <c r="M8" s="17" t="str">
        <f>IF(COUNTA(E8,G8,I8,K8)&lt;4,"",F8*Parâmetros!$B$7+H8*Parâmetros!$B$8+J8*Parâmetros!$B$9+L8*Parâmetros!$B$10)</f>
        <v/>
      </c>
      <c r="N8" s="16" t="str">
        <f>IF(M8="","",IFERROR(VLOOKUP(M8,Parâmetros!$M$15:$O$17,2,TRUE),""))</f>
        <v/>
      </c>
      <c r="O8" s="18" t="str">
        <f>IF(N8="","",VLOOKUP(N8,Parâmetros!$N$15:$O$17,2,FALSE))</f>
        <v/>
      </c>
      <c r="P8" s="18" t="str">
        <f>IF(O8="","",O8*VLOOKUP(N8,Parâmetros!$N$15:$P$17,3,FALSE))</f>
        <v/>
      </c>
      <c r="Q8" s="18" t="str">
        <f>IF(O8="","",O8*VLOOKUP(N8,Parâmetros!$N$15:$Q$17,4,FALSE))</f>
        <v/>
      </c>
      <c r="R8" s="15"/>
    </row>
    <row r="9" spans="1:18">
      <c r="A9" s="15"/>
      <c r="B9" s="15"/>
      <c r="C9" s="15"/>
      <c r="D9" s="15"/>
      <c r="E9" s="15"/>
      <c r="F9" s="16" t="str">
        <f>IFERROR(VLOOKUP(E9,Parâmetros!$A$15:$B$18,2,FALSE),"")</f>
        <v/>
      </c>
      <c r="G9" s="16"/>
      <c r="H9" s="16" t="str">
        <f>IFERROR(VLOOKUP(G9,Parâmetros!$D$15:$E$18,2,FALSE),"")</f>
        <v/>
      </c>
      <c r="I9" s="16"/>
      <c r="J9" s="16" t="str">
        <f>IFERROR(VLOOKUP(I9,Parâmetros!$G$15:$H$18,2,FALSE),"")</f>
        <v/>
      </c>
      <c r="K9" s="16"/>
      <c r="L9" s="16" t="str">
        <f>IFERROR(VLOOKUP(K9,Parâmetros!$J$15:$K$18,2,FALSE),"")</f>
        <v/>
      </c>
      <c r="M9" s="17" t="str">
        <f>IF(COUNTA(E9,G9,I9,K9)&lt;4,"",F9*Parâmetros!$B$7+H9*Parâmetros!$B$8+J9*Parâmetros!$B$9+L9*Parâmetros!$B$10)</f>
        <v/>
      </c>
      <c r="N9" s="16" t="str">
        <f>IF(M9="","",IFERROR(VLOOKUP(M9,Parâmetros!$M$15:$O$17,2,TRUE),""))</f>
        <v/>
      </c>
      <c r="O9" s="18" t="str">
        <f>IF(N9="","",VLOOKUP(N9,Parâmetros!$N$15:$O$17,2,FALSE))</f>
        <v/>
      </c>
      <c r="P9" s="18" t="str">
        <f>IF(O9="","",O9*VLOOKUP(N9,Parâmetros!$N$15:$P$17,3,FALSE))</f>
        <v/>
      </c>
      <c r="Q9" s="18" t="str">
        <f>IF(O9="","",O9*VLOOKUP(N9,Parâmetros!$N$15:$Q$17,4,FALSE))</f>
        <v/>
      </c>
      <c r="R9" s="15"/>
    </row>
    <row r="10" spans="1:18">
      <c r="A10" s="15"/>
      <c r="B10" s="15"/>
      <c r="C10" s="15"/>
      <c r="D10" s="15"/>
      <c r="E10" s="15"/>
      <c r="F10" s="16" t="str">
        <f>IFERROR(VLOOKUP(E10,Parâmetros!$A$15:$B$18,2,FALSE),"")</f>
        <v/>
      </c>
      <c r="G10" s="16"/>
      <c r="H10" s="16" t="str">
        <f>IFERROR(VLOOKUP(G10,Parâmetros!$D$15:$E$18,2,FALSE),"")</f>
        <v/>
      </c>
      <c r="I10" s="16"/>
      <c r="J10" s="16" t="str">
        <f>IFERROR(VLOOKUP(I10,Parâmetros!$G$15:$H$18,2,FALSE),"")</f>
        <v/>
      </c>
      <c r="K10" s="16"/>
      <c r="L10" s="16" t="str">
        <f>IFERROR(VLOOKUP(K10,Parâmetros!$J$15:$K$18,2,FALSE),"")</f>
        <v/>
      </c>
      <c r="M10" s="17" t="str">
        <f>IF(COUNTA(E10,G10,I10,K10)&lt;4,"",F10*Parâmetros!$B$7+H10*Parâmetros!$B$8+J10*Parâmetros!$B$9+L10*Parâmetros!$B$10)</f>
        <v/>
      </c>
      <c r="N10" s="16" t="str">
        <f>IF(M10="","",IFERROR(VLOOKUP(M10,Parâmetros!$M$15:$O$17,2,TRUE),""))</f>
        <v/>
      </c>
      <c r="O10" s="18" t="str">
        <f>IF(N10="","",VLOOKUP(N10,Parâmetros!$N$15:$O$17,2,FALSE))</f>
        <v/>
      </c>
      <c r="P10" s="18" t="str">
        <f>IF(O10="","",O10*VLOOKUP(N10,Parâmetros!$N$15:$P$17,3,FALSE))</f>
        <v/>
      </c>
      <c r="Q10" s="18" t="str">
        <f>IF(O10="","",O10*VLOOKUP(N10,Parâmetros!$N$15:$Q$17,4,FALSE))</f>
        <v/>
      </c>
      <c r="R10" s="15"/>
    </row>
    <row r="11" spans="1:18">
      <c r="A11" s="15"/>
      <c r="B11" s="15"/>
      <c r="C11" s="15"/>
      <c r="D11" s="15"/>
      <c r="E11" s="15"/>
      <c r="F11" s="16" t="str">
        <f>IFERROR(VLOOKUP(E11,Parâmetros!$A$15:$B$18,2,FALSE),"")</f>
        <v/>
      </c>
      <c r="G11" s="16"/>
      <c r="H11" s="16" t="str">
        <f>IFERROR(VLOOKUP(G11,Parâmetros!$D$15:$E$18,2,FALSE),"")</f>
        <v/>
      </c>
      <c r="I11" s="16"/>
      <c r="J11" s="16" t="str">
        <f>IFERROR(VLOOKUP(I11,Parâmetros!$G$15:$H$18,2,FALSE),"")</f>
        <v/>
      </c>
      <c r="K11" s="16"/>
      <c r="L11" s="16" t="str">
        <f>IFERROR(VLOOKUP(K11,Parâmetros!$J$15:$K$18,2,FALSE),"")</f>
        <v/>
      </c>
      <c r="M11" s="17" t="str">
        <f>IF(COUNTA(E11,G11,I11,K11)&lt;4,"",F11*Parâmetros!$B$7+H11*Parâmetros!$B$8+J11*Parâmetros!$B$9+L11*Parâmetros!$B$10)</f>
        <v/>
      </c>
      <c r="N11" s="16" t="str">
        <f>IF(M11="","",IFERROR(VLOOKUP(M11,Parâmetros!$M$15:$O$17,2,TRUE),""))</f>
        <v/>
      </c>
      <c r="O11" s="18" t="str">
        <f>IF(N11="","",VLOOKUP(N11,Parâmetros!$N$15:$O$17,2,FALSE))</f>
        <v/>
      </c>
      <c r="P11" s="18" t="str">
        <f>IF(O11="","",O11*VLOOKUP(N11,Parâmetros!$N$15:$P$17,3,FALSE))</f>
        <v/>
      </c>
      <c r="Q11" s="18" t="str">
        <f>IF(O11="","",O11*VLOOKUP(N11,Parâmetros!$N$15:$Q$17,4,FALSE))</f>
        <v/>
      </c>
      <c r="R11" s="15"/>
    </row>
    <row r="12" spans="1:18">
      <c r="A12" s="15"/>
      <c r="B12" s="15"/>
      <c r="C12" s="15"/>
      <c r="D12" s="15"/>
      <c r="E12" s="15"/>
      <c r="F12" s="16" t="str">
        <f>IFERROR(VLOOKUP(E12,Parâmetros!$A$15:$B$18,2,FALSE),"")</f>
        <v/>
      </c>
      <c r="G12" s="16"/>
      <c r="H12" s="16" t="str">
        <f>IFERROR(VLOOKUP(G12,Parâmetros!$D$15:$E$18,2,FALSE),"")</f>
        <v/>
      </c>
      <c r="I12" s="16"/>
      <c r="J12" s="16" t="str">
        <f>IFERROR(VLOOKUP(I12,Parâmetros!$G$15:$H$18,2,FALSE),"")</f>
        <v/>
      </c>
      <c r="K12" s="16"/>
      <c r="L12" s="16" t="str">
        <f>IFERROR(VLOOKUP(K12,Parâmetros!$J$15:$K$18,2,FALSE),"")</f>
        <v/>
      </c>
      <c r="M12" s="17" t="str">
        <f>IF(COUNTA(E12,G12,I12,K12)&lt;4,"",F12*Parâmetros!$B$7+H12*Parâmetros!$B$8+J12*Parâmetros!$B$9+L12*Parâmetros!$B$10)</f>
        <v/>
      </c>
      <c r="N12" s="16" t="str">
        <f>IF(M12="","",IFERROR(VLOOKUP(M12,Parâmetros!$M$15:$O$17,2,TRUE),""))</f>
        <v/>
      </c>
      <c r="O12" s="18" t="str">
        <f>IF(N12="","",VLOOKUP(N12,Parâmetros!$N$15:$O$17,2,FALSE))</f>
        <v/>
      </c>
      <c r="P12" s="18" t="str">
        <f>IF(O12="","",O12*VLOOKUP(N12,Parâmetros!$N$15:$P$17,3,FALSE))</f>
        <v/>
      </c>
      <c r="Q12" s="18" t="str">
        <f>IF(O12="","",O12*VLOOKUP(N12,Parâmetros!$N$15:$Q$17,4,FALSE))</f>
        <v/>
      </c>
      <c r="R12" s="15"/>
    </row>
    <row r="13" spans="1:18">
      <c r="A13" s="15"/>
      <c r="B13" s="15"/>
      <c r="C13" s="15"/>
      <c r="D13" s="15"/>
      <c r="E13" s="15"/>
      <c r="F13" s="16" t="str">
        <f>IFERROR(VLOOKUP(E13,Parâmetros!$A$15:$B$18,2,FALSE),"")</f>
        <v/>
      </c>
      <c r="G13" s="16"/>
      <c r="H13" s="16" t="str">
        <f>IFERROR(VLOOKUP(G13,Parâmetros!$D$15:$E$18,2,FALSE),"")</f>
        <v/>
      </c>
      <c r="I13" s="16"/>
      <c r="J13" s="16" t="str">
        <f>IFERROR(VLOOKUP(I13,Parâmetros!$G$15:$H$18,2,FALSE),"")</f>
        <v/>
      </c>
      <c r="K13" s="16"/>
      <c r="L13" s="16" t="str">
        <f>IFERROR(VLOOKUP(K13,Parâmetros!$J$15:$K$18,2,FALSE),"")</f>
        <v/>
      </c>
      <c r="M13" s="17" t="str">
        <f>IF(COUNTA(E13,G13,I13,K13)&lt;4,"",F13*Parâmetros!$B$7+H13*Parâmetros!$B$8+J13*Parâmetros!$B$9+L13*Parâmetros!$B$10)</f>
        <v/>
      </c>
      <c r="N13" s="16" t="str">
        <f>IF(M13="","",IFERROR(VLOOKUP(M13,Parâmetros!$M$15:$O$17,2,TRUE),""))</f>
        <v/>
      </c>
      <c r="O13" s="18" t="str">
        <f>IF(N13="","",VLOOKUP(N13,Parâmetros!$N$15:$O$17,2,FALSE))</f>
        <v/>
      </c>
      <c r="P13" s="18" t="str">
        <f>IF(O13="","",O13*VLOOKUP(N13,Parâmetros!$N$15:$P$17,3,FALSE))</f>
        <v/>
      </c>
      <c r="Q13" s="18" t="str">
        <f>IF(O13="","",O13*VLOOKUP(N13,Parâmetros!$N$15:$Q$17,4,FALSE))</f>
        <v/>
      </c>
      <c r="R13" s="15"/>
    </row>
    <row r="14" spans="1:18">
      <c r="A14" s="15"/>
      <c r="B14" s="15"/>
      <c r="C14" s="15"/>
      <c r="D14" s="15"/>
      <c r="E14" s="15"/>
      <c r="F14" s="16" t="str">
        <f>IFERROR(VLOOKUP(E14,Parâmetros!$A$15:$B$18,2,FALSE),"")</f>
        <v/>
      </c>
      <c r="G14" s="16"/>
      <c r="H14" s="16" t="str">
        <f>IFERROR(VLOOKUP(G14,Parâmetros!$D$15:$E$18,2,FALSE),"")</f>
        <v/>
      </c>
      <c r="I14" s="16"/>
      <c r="J14" s="16" t="str">
        <f>IFERROR(VLOOKUP(I14,Parâmetros!$G$15:$H$18,2,FALSE),"")</f>
        <v/>
      </c>
      <c r="K14" s="16"/>
      <c r="L14" s="16" t="str">
        <f>IFERROR(VLOOKUP(K14,Parâmetros!$J$15:$K$18,2,FALSE),"")</f>
        <v/>
      </c>
      <c r="M14" s="17" t="str">
        <f>IF(COUNTA(E14,G14,I14,K14)&lt;4,"",F14*Parâmetros!$B$7+H14*Parâmetros!$B$8+J14*Parâmetros!$B$9+L14*Parâmetros!$B$10)</f>
        <v/>
      </c>
      <c r="N14" s="16" t="str">
        <f>IF(M14="","",IFERROR(VLOOKUP(M14,Parâmetros!$M$15:$O$17,2,TRUE),""))</f>
        <v/>
      </c>
      <c r="O14" s="18" t="str">
        <f>IF(N14="","",VLOOKUP(N14,Parâmetros!$N$15:$O$17,2,FALSE))</f>
        <v/>
      </c>
      <c r="P14" s="18" t="str">
        <f>IF(O14="","",O14*VLOOKUP(N14,Parâmetros!$N$15:$P$17,3,FALSE))</f>
        <v/>
      </c>
      <c r="Q14" s="18" t="str">
        <f>IF(O14="","",O14*VLOOKUP(N14,Parâmetros!$N$15:$Q$17,4,FALSE))</f>
        <v/>
      </c>
      <c r="R14" s="15"/>
    </row>
    <row r="15" spans="1:18">
      <c r="A15" s="15"/>
      <c r="B15" s="15"/>
      <c r="C15" s="15"/>
      <c r="D15" s="15"/>
      <c r="E15" s="15"/>
      <c r="F15" s="16" t="str">
        <f>IFERROR(VLOOKUP(E15,Parâmetros!$A$15:$B$18,2,FALSE),"")</f>
        <v/>
      </c>
      <c r="G15" s="16"/>
      <c r="H15" s="16" t="str">
        <f>IFERROR(VLOOKUP(G15,Parâmetros!$D$15:$E$18,2,FALSE),"")</f>
        <v/>
      </c>
      <c r="I15" s="16"/>
      <c r="J15" s="16" t="str">
        <f>IFERROR(VLOOKUP(I15,Parâmetros!$G$15:$H$18,2,FALSE),"")</f>
        <v/>
      </c>
      <c r="K15" s="16"/>
      <c r="L15" s="16" t="str">
        <f>IFERROR(VLOOKUP(K15,Parâmetros!$J$15:$K$18,2,FALSE),"")</f>
        <v/>
      </c>
      <c r="M15" s="17" t="str">
        <f>IF(COUNTA(E15,G15,I15,K15)&lt;4,"",F15*Parâmetros!$B$7+H15*Parâmetros!$B$8+J15*Parâmetros!$B$9+L15*Parâmetros!$B$10)</f>
        <v/>
      </c>
      <c r="N15" s="16" t="str">
        <f>IF(M15="","",IFERROR(VLOOKUP(M15,Parâmetros!$M$15:$O$17,2,TRUE),""))</f>
        <v/>
      </c>
      <c r="O15" s="18" t="str">
        <f>IF(N15="","",VLOOKUP(N15,Parâmetros!$N$15:$O$17,2,FALSE))</f>
        <v/>
      </c>
      <c r="P15" s="18" t="str">
        <f>IF(O15="","",O15*VLOOKUP(N15,Parâmetros!$N$15:$P$17,3,FALSE))</f>
        <v/>
      </c>
      <c r="Q15" s="18" t="str">
        <f>IF(O15="","",O15*VLOOKUP(N15,Parâmetros!$N$15:$Q$17,4,FALSE))</f>
        <v/>
      </c>
      <c r="R15" s="15"/>
    </row>
    <row r="16" spans="1:18">
      <c r="A16" s="15"/>
      <c r="B16" s="15"/>
      <c r="C16" s="15"/>
      <c r="D16" s="15"/>
      <c r="E16" s="15"/>
      <c r="F16" s="16" t="str">
        <f>IFERROR(VLOOKUP(E16,Parâmetros!$A$15:$B$18,2,FALSE),"")</f>
        <v/>
      </c>
      <c r="G16" s="16"/>
      <c r="H16" s="16" t="str">
        <f>IFERROR(VLOOKUP(G16,Parâmetros!$D$15:$E$18,2,FALSE),"")</f>
        <v/>
      </c>
      <c r="I16" s="16"/>
      <c r="J16" s="16" t="str">
        <f>IFERROR(VLOOKUP(I16,Parâmetros!$G$15:$H$18,2,FALSE),"")</f>
        <v/>
      </c>
      <c r="K16" s="16"/>
      <c r="L16" s="16" t="str">
        <f>IFERROR(VLOOKUP(K16,Parâmetros!$J$15:$K$18,2,FALSE),"")</f>
        <v/>
      </c>
      <c r="M16" s="17" t="str">
        <f>IF(COUNTA(E16,G16,I16,K16)&lt;4,"",F16*Parâmetros!$B$7+H16*Parâmetros!$B$8+J16*Parâmetros!$B$9+L16*Parâmetros!$B$10)</f>
        <v/>
      </c>
      <c r="N16" s="16" t="str">
        <f>IF(M16="","",IFERROR(VLOOKUP(M16,Parâmetros!$M$15:$O$17,2,TRUE),""))</f>
        <v/>
      </c>
      <c r="O16" s="18" t="str">
        <f>IF(N16="","",VLOOKUP(N16,Parâmetros!$N$15:$O$17,2,FALSE))</f>
        <v/>
      </c>
      <c r="P16" s="18" t="str">
        <f>IF(O16="","",O16*VLOOKUP(N16,Parâmetros!$N$15:$P$17,3,FALSE))</f>
        <v/>
      </c>
      <c r="Q16" s="18" t="str">
        <f>IF(O16="","",O16*VLOOKUP(N16,Parâmetros!$N$15:$Q$17,4,FALSE))</f>
        <v/>
      </c>
      <c r="R16" s="15"/>
    </row>
    <row r="17" spans="1:18">
      <c r="A17" s="15"/>
      <c r="B17" s="15"/>
      <c r="C17" s="15"/>
      <c r="D17" s="15"/>
      <c r="E17" s="15"/>
      <c r="F17" s="16" t="str">
        <f>IFERROR(VLOOKUP(E17,Parâmetros!$A$15:$B$18,2,FALSE),"")</f>
        <v/>
      </c>
      <c r="G17" s="16"/>
      <c r="H17" s="16" t="str">
        <f>IFERROR(VLOOKUP(G17,Parâmetros!$D$15:$E$18,2,FALSE),"")</f>
        <v/>
      </c>
      <c r="I17" s="16"/>
      <c r="J17" s="16" t="str">
        <f>IFERROR(VLOOKUP(I17,Parâmetros!$G$15:$H$18,2,FALSE),"")</f>
        <v/>
      </c>
      <c r="K17" s="16"/>
      <c r="L17" s="16" t="str">
        <f>IFERROR(VLOOKUP(K17,Parâmetros!$J$15:$K$18,2,FALSE),"")</f>
        <v/>
      </c>
      <c r="M17" s="17" t="str">
        <f>IF(COUNTA(E17,G17,I17,K17)&lt;4,"",F17*Parâmetros!$B$7+H17*Parâmetros!$B$8+J17*Parâmetros!$B$9+L17*Parâmetros!$B$10)</f>
        <v/>
      </c>
      <c r="N17" s="16" t="str">
        <f>IF(M17="","",IFERROR(VLOOKUP(M17,Parâmetros!$M$15:$O$17,2,TRUE),""))</f>
        <v/>
      </c>
      <c r="O17" s="18" t="str">
        <f>IF(N17="","",VLOOKUP(N17,Parâmetros!$N$15:$O$17,2,FALSE))</f>
        <v/>
      </c>
      <c r="P17" s="18" t="str">
        <f>IF(O17="","",O17*VLOOKUP(N17,Parâmetros!$N$15:$P$17,3,FALSE))</f>
        <v/>
      </c>
      <c r="Q17" s="18" t="str">
        <f>IF(O17="","",O17*VLOOKUP(N17,Parâmetros!$N$15:$Q$17,4,FALSE))</f>
        <v/>
      </c>
      <c r="R17" s="15"/>
    </row>
    <row r="18" spans="1:18">
      <c r="A18" s="15"/>
      <c r="B18" s="15"/>
      <c r="C18" s="15"/>
      <c r="D18" s="15"/>
      <c r="E18" s="15"/>
      <c r="F18" s="16" t="str">
        <f>IFERROR(VLOOKUP(E18,Parâmetros!$A$15:$B$18,2,FALSE),"")</f>
        <v/>
      </c>
      <c r="G18" s="16"/>
      <c r="H18" s="16" t="str">
        <f>IFERROR(VLOOKUP(G18,Parâmetros!$D$15:$E$18,2,FALSE),"")</f>
        <v/>
      </c>
      <c r="I18" s="16"/>
      <c r="J18" s="16" t="str">
        <f>IFERROR(VLOOKUP(I18,Parâmetros!$G$15:$H$18,2,FALSE),"")</f>
        <v/>
      </c>
      <c r="K18" s="16"/>
      <c r="L18" s="16" t="str">
        <f>IFERROR(VLOOKUP(K18,Parâmetros!$J$15:$K$18,2,FALSE),"")</f>
        <v/>
      </c>
      <c r="M18" s="17" t="str">
        <f>IF(COUNTA(E18,G18,I18,K18)&lt;4,"",F18*Parâmetros!$B$7+H18*Parâmetros!$B$8+J18*Parâmetros!$B$9+L18*Parâmetros!$B$10)</f>
        <v/>
      </c>
      <c r="N18" s="16" t="str">
        <f>IF(M18="","",IFERROR(VLOOKUP(M18,Parâmetros!$M$15:$O$17,2,TRUE),""))</f>
        <v/>
      </c>
      <c r="O18" s="18" t="str">
        <f>IF(N18="","",VLOOKUP(N18,Parâmetros!$N$15:$O$17,2,FALSE))</f>
        <v/>
      </c>
      <c r="P18" s="18" t="str">
        <f>IF(O18="","",O18*VLOOKUP(N18,Parâmetros!$N$15:$P$17,3,FALSE))</f>
        <v/>
      </c>
      <c r="Q18" s="18" t="str">
        <f>IF(O18="","",O18*VLOOKUP(N18,Parâmetros!$N$15:$Q$17,4,FALSE))</f>
        <v/>
      </c>
      <c r="R18" s="15"/>
    </row>
    <row r="19" spans="1:18">
      <c r="A19" s="15"/>
      <c r="B19" s="15"/>
      <c r="C19" s="15"/>
      <c r="D19" s="15"/>
      <c r="E19" s="15"/>
      <c r="F19" s="16" t="str">
        <f>IFERROR(VLOOKUP(E19,Parâmetros!$A$15:$B$18,2,FALSE),"")</f>
        <v/>
      </c>
      <c r="G19" s="16"/>
      <c r="H19" s="16" t="str">
        <f>IFERROR(VLOOKUP(G19,Parâmetros!$D$15:$E$18,2,FALSE),"")</f>
        <v/>
      </c>
      <c r="I19" s="16"/>
      <c r="J19" s="16" t="str">
        <f>IFERROR(VLOOKUP(I19,Parâmetros!$G$15:$H$18,2,FALSE),"")</f>
        <v/>
      </c>
      <c r="K19" s="16"/>
      <c r="L19" s="16" t="str">
        <f>IFERROR(VLOOKUP(K19,Parâmetros!$J$15:$K$18,2,FALSE),"")</f>
        <v/>
      </c>
      <c r="M19" s="17" t="str">
        <f>IF(COUNTA(E19,G19,I19,K19)&lt;4,"",F19*Parâmetros!$B$7+H19*Parâmetros!$B$8+J19*Parâmetros!$B$9+L19*Parâmetros!$B$10)</f>
        <v/>
      </c>
      <c r="N19" s="16" t="str">
        <f>IF(M19="","",IFERROR(VLOOKUP(M19,Parâmetros!$M$15:$O$17,2,TRUE),""))</f>
        <v/>
      </c>
      <c r="O19" s="18" t="str">
        <f>IF(N19="","",VLOOKUP(N19,Parâmetros!$N$15:$O$17,2,FALSE))</f>
        <v/>
      </c>
      <c r="P19" s="18" t="str">
        <f>IF(O19="","",O19*VLOOKUP(N19,Parâmetros!$N$15:$P$17,3,FALSE))</f>
        <v/>
      </c>
      <c r="Q19" s="18" t="str">
        <f>IF(O19="","",O19*VLOOKUP(N19,Parâmetros!$N$15:$Q$17,4,FALSE))</f>
        <v/>
      </c>
      <c r="R19" s="15"/>
    </row>
    <row r="20" spans="1:18">
      <c r="A20" s="15"/>
      <c r="B20" s="15"/>
      <c r="C20" s="15"/>
      <c r="D20" s="15"/>
      <c r="E20" s="15"/>
      <c r="F20" s="16" t="str">
        <f>IFERROR(VLOOKUP(E20,Parâmetros!$A$15:$B$18,2,FALSE),"")</f>
        <v/>
      </c>
      <c r="G20" s="16"/>
      <c r="H20" s="16" t="str">
        <f>IFERROR(VLOOKUP(G20,Parâmetros!$D$15:$E$18,2,FALSE),"")</f>
        <v/>
      </c>
      <c r="I20" s="16"/>
      <c r="J20" s="16" t="str">
        <f>IFERROR(VLOOKUP(I20,Parâmetros!$G$15:$H$18,2,FALSE),"")</f>
        <v/>
      </c>
      <c r="K20" s="16"/>
      <c r="L20" s="16" t="str">
        <f>IFERROR(VLOOKUP(K20,Parâmetros!$J$15:$K$18,2,FALSE),"")</f>
        <v/>
      </c>
      <c r="M20" s="17" t="str">
        <f>IF(COUNTA(E20,G20,I20,K20)&lt;4,"",F20*Parâmetros!$B$7+H20*Parâmetros!$B$8+J20*Parâmetros!$B$9+L20*Parâmetros!$B$10)</f>
        <v/>
      </c>
      <c r="N20" s="16" t="str">
        <f>IF(M20="","",IFERROR(VLOOKUP(M20,Parâmetros!$M$15:$O$17,2,TRUE),""))</f>
        <v/>
      </c>
      <c r="O20" s="18" t="str">
        <f>IF(N20="","",VLOOKUP(N20,Parâmetros!$N$15:$O$17,2,FALSE))</f>
        <v/>
      </c>
      <c r="P20" s="18" t="str">
        <f>IF(O20="","",O20*VLOOKUP(N20,Parâmetros!$N$15:$P$17,3,FALSE))</f>
        <v/>
      </c>
      <c r="Q20" s="18" t="str">
        <f>IF(O20="","",O20*VLOOKUP(N20,Parâmetros!$N$15:$Q$17,4,FALSE))</f>
        <v/>
      </c>
      <c r="R20" s="15"/>
    </row>
    <row r="21" spans="1:18">
      <c r="A21" s="15"/>
      <c r="B21" s="15"/>
      <c r="C21" s="15"/>
      <c r="D21" s="15"/>
      <c r="E21" s="15"/>
      <c r="F21" s="16" t="str">
        <f>IFERROR(VLOOKUP(E21,Parâmetros!$A$15:$B$18,2,FALSE),"")</f>
        <v/>
      </c>
      <c r="G21" s="16"/>
      <c r="H21" s="16" t="str">
        <f>IFERROR(VLOOKUP(G21,Parâmetros!$D$15:$E$18,2,FALSE),"")</f>
        <v/>
      </c>
      <c r="I21" s="16"/>
      <c r="J21" s="16" t="str">
        <f>IFERROR(VLOOKUP(I21,Parâmetros!$G$15:$H$18,2,FALSE),"")</f>
        <v/>
      </c>
      <c r="K21" s="16"/>
      <c r="L21" s="16" t="str">
        <f>IFERROR(VLOOKUP(K21,Parâmetros!$J$15:$K$18,2,FALSE),"")</f>
        <v/>
      </c>
      <c r="M21" s="17" t="str">
        <f>IF(COUNTA(E21,G21,I21,K21)&lt;4,"",F21*Parâmetros!$B$7+H21*Parâmetros!$B$8+J21*Parâmetros!$B$9+L21*Parâmetros!$B$10)</f>
        <v/>
      </c>
      <c r="N21" s="16" t="str">
        <f>IF(M21="","",IFERROR(VLOOKUP(M21,Parâmetros!$M$15:$O$17,2,TRUE),""))</f>
        <v/>
      </c>
      <c r="O21" s="18" t="str">
        <f>IF(N21="","",VLOOKUP(N21,Parâmetros!$N$15:$O$17,2,FALSE))</f>
        <v/>
      </c>
      <c r="P21" s="18" t="str">
        <f>IF(O21="","",O21*VLOOKUP(N21,Parâmetros!$N$15:$P$17,3,FALSE))</f>
        <v/>
      </c>
      <c r="Q21" s="18" t="str">
        <f>IF(O21="","",O21*VLOOKUP(N21,Parâmetros!$N$15:$Q$17,4,FALSE))</f>
        <v/>
      </c>
      <c r="R21" s="15"/>
    </row>
    <row r="22" spans="1:18">
      <c r="A22" s="15"/>
      <c r="B22" s="15"/>
      <c r="C22" s="15"/>
      <c r="D22" s="15"/>
      <c r="E22" s="15"/>
      <c r="F22" s="16" t="str">
        <f>IFERROR(VLOOKUP(E22,Parâmetros!$A$15:$B$18,2,FALSE),"")</f>
        <v/>
      </c>
      <c r="G22" s="16"/>
      <c r="H22" s="16" t="str">
        <f>IFERROR(VLOOKUP(G22,Parâmetros!$D$15:$E$18,2,FALSE),"")</f>
        <v/>
      </c>
      <c r="I22" s="16"/>
      <c r="J22" s="16" t="str">
        <f>IFERROR(VLOOKUP(I22,Parâmetros!$G$15:$H$18,2,FALSE),"")</f>
        <v/>
      </c>
      <c r="K22" s="16"/>
      <c r="L22" s="16" t="str">
        <f>IFERROR(VLOOKUP(K22,Parâmetros!$J$15:$K$18,2,FALSE),"")</f>
        <v/>
      </c>
      <c r="M22" s="17" t="str">
        <f>IF(COUNTA(E22,G22,I22,K22)&lt;4,"",F22*Parâmetros!$B$7+H22*Parâmetros!$B$8+J22*Parâmetros!$B$9+L22*Parâmetros!$B$10)</f>
        <v/>
      </c>
      <c r="N22" s="16" t="str">
        <f>IF(M22="","",IFERROR(VLOOKUP(M22,Parâmetros!$M$15:$O$17,2,TRUE),""))</f>
        <v/>
      </c>
      <c r="O22" s="18" t="str">
        <f>IF(N22="","",VLOOKUP(N22,Parâmetros!$N$15:$O$17,2,FALSE))</f>
        <v/>
      </c>
      <c r="P22" s="18" t="str">
        <f>IF(O22="","",O22*VLOOKUP(N22,Parâmetros!$N$15:$P$17,3,FALSE))</f>
        <v/>
      </c>
      <c r="Q22" s="18" t="str">
        <f>IF(O22="","",O22*VLOOKUP(N22,Parâmetros!$N$15:$Q$17,4,FALSE))</f>
        <v/>
      </c>
      <c r="R22" s="15"/>
    </row>
    <row r="23" spans="1:18">
      <c r="A23" s="15"/>
      <c r="B23" s="15"/>
      <c r="C23" s="15"/>
      <c r="D23" s="15"/>
      <c r="E23" s="15"/>
      <c r="F23" s="16" t="str">
        <f>IFERROR(VLOOKUP(E23,Parâmetros!$A$15:$B$18,2,FALSE),"")</f>
        <v/>
      </c>
      <c r="G23" s="16"/>
      <c r="H23" s="16" t="str">
        <f>IFERROR(VLOOKUP(G23,Parâmetros!$D$15:$E$18,2,FALSE),"")</f>
        <v/>
      </c>
      <c r="I23" s="16"/>
      <c r="J23" s="16" t="str">
        <f>IFERROR(VLOOKUP(I23,Parâmetros!$G$15:$H$18,2,FALSE),"")</f>
        <v/>
      </c>
      <c r="K23" s="16"/>
      <c r="L23" s="16" t="str">
        <f>IFERROR(VLOOKUP(K23,Parâmetros!$J$15:$K$18,2,FALSE),"")</f>
        <v/>
      </c>
      <c r="M23" s="17" t="str">
        <f>IF(COUNTA(E23,G23,I23,K23)&lt;4,"",F23*Parâmetros!$B$7+H23*Parâmetros!$B$8+J23*Parâmetros!$B$9+L23*Parâmetros!$B$10)</f>
        <v/>
      </c>
      <c r="N23" s="16" t="str">
        <f>IF(M23="","",IFERROR(VLOOKUP(M23,Parâmetros!$M$15:$O$17,2,TRUE),""))</f>
        <v/>
      </c>
      <c r="O23" s="18" t="str">
        <f>IF(N23="","",VLOOKUP(N23,Parâmetros!$N$15:$O$17,2,FALSE))</f>
        <v/>
      </c>
      <c r="P23" s="18" t="str">
        <f>IF(O23="","",O23*VLOOKUP(N23,Parâmetros!$N$15:$P$17,3,FALSE))</f>
        <v/>
      </c>
      <c r="Q23" s="18" t="str">
        <f>IF(O23="","",O23*VLOOKUP(N23,Parâmetros!$N$15:$Q$17,4,FALSE))</f>
        <v/>
      </c>
      <c r="R23" s="15"/>
    </row>
    <row r="24" spans="1:18">
      <c r="A24" s="15"/>
      <c r="B24" s="15"/>
      <c r="C24" s="15"/>
      <c r="D24" s="15"/>
      <c r="E24" s="15"/>
      <c r="F24" s="16" t="str">
        <f>IFERROR(VLOOKUP(E24,Parâmetros!$A$15:$B$18,2,FALSE),"")</f>
        <v/>
      </c>
      <c r="G24" s="16"/>
      <c r="H24" s="16" t="str">
        <f>IFERROR(VLOOKUP(G24,Parâmetros!$D$15:$E$18,2,FALSE),"")</f>
        <v/>
      </c>
      <c r="I24" s="16"/>
      <c r="J24" s="16" t="str">
        <f>IFERROR(VLOOKUP(I24,Parâmetros!$G$15:$H$18,2,FALSE),"")</f>
        <v/>
      </c>
      <c r="K24" s="16"/>
      <c r="L24" s="16" t="str">
        <f>IFERROR(VLOOKUP(K24,Parâmetros!$J$15:$K$18,2,FALSE),"")</f>
        <v/>
      </c>
      <c r="M24" s="17" t="str">
        <f>IF(COUNTA(E24,G24,I24,K24)&lt;4,"",F24*Parâmetros!$B$7+H24*Parâmetros!$B$8+J24*Parâmetros!$B$9+L24*Parâmetros!$B$10)</f>
        <v/>
      </c>
      <c r="N24" s="16" t="str">
        <f>IF(M24="","",IFERROR(VLOOKUP(M24,Parâmetros!$M$15:$O$17,2,TRUE),""))</f>
        <v/>
      </c>
      <c r="O24" s="18" t="str">
        <f>IF(N24="","",VLOOKUP(N24,Parâmetros!$N$15:$O$17,2,FALSE))</f>
        <v/>
      </c>
      <c r="P24" s="18" t="str">
        <f>IF(O24="","",O24*VLOOKUP(N24,Parâmetros!$N$15:$P$17,3,FALSE))</f>
        <v/>
      </c>
      <c r="Q24" s="18" t="str">
        <f>IF(O24="","",O24*VLOOKUP(N24,Parâmetros!$N$15:$Q$17,4,FALSE))</f>
        <v/>
      </c>
      <c r="R24" s="15"/>
    </row>
    <row r="25" spans="1:18">
      <c r="A25" s="15"/>
      <c r="B25" s="15"/>
      <c r="C25" s="15"/>
      <c r="D25" s="15"/>
      <c r="E25" s="15"/>
      <c r="F25" s="16" t="str">
        <f>IFERROR(VLOOKUP(E25,Parâmetros!$A$15:$B$18,2,FALSE),"")</f>
        <v/>
      </c>
      <c r="G25" s="16"/>
      <c r="H25" s="16" t="str">
        <f>IFERROR(VLOOKUP(G25,Parâmetros!$D$15:$E$18,2,FALSE),"")</f>
        <v/>
      </c>
      <c r="I25" s="16"/>
      <c r="J25" s="16" t="str">
        <f>IFERROR(VLOOKUP(I25,Parâmetros!$G$15:$H$18,2,FALSE),"")</f>
        <v/>
      </c>
      <c r="K25" s="16"/>
      <c r="L25" s="16" t="str">
        <f>IFERROR(VLOOKUP(K25,Parâmetros!$J$15:$K$18,2,FALSE),"")</f>
        <v/>
      </c>
      <c r="M25" s="17" t="str">
        <f>IF(COUNTA(E25,G25,I25,K25)&lt;4,"",F25*Parâmetros!$B$7+H25*Parâmetros!$B$8+J25*Parâmetros!$B$9+L25*Parâmetros!$B$10)</f>
        <v/>
      </c>
      <c r="N25" s="16" t="str">
        <f>IF(M25="","",IFERROR(VLOOKUP(M25,Parâmetros!$M$15:$O$17,2,TRUE),""))</f>
        <v/>
      </c>
      <c r="O25" s="18" t="str">
        <f>IF(N25="","",VLOOKUP(N25,Parâmetros!$N$15:$O$17,2,FALSE))</f>
        <v/>
      </c>
      <c r="P25" s="18" t="str">
        <f>IF(O25="","",O25*VLOOKUP(N25,Parâmetros!$N$15:$P$17,3,FALSE))</f>
        <v/>
      </c>
      <c r="Q25" s="18" t="str">
        <f>IF(O25="","",O25*VLOOKUP(N25,Parâmetros!$N$15:$Q$17,4,FALSE))</f>
        <v/>
      </c>
      <c r="R25" s="15"/>
    </row>
    <row r="26" spans="1:18">
      <c r="A26" s="15"/>
      <c r="B26" s="15"/>
      <c r="C26" s="15"/>
      <c r="D26" s="15"/>
      <c r="E26" s="15"/>
      <c r="F26" s="16" t="str">
        <f>IFERROR(VLOOKUP(E26,Parâmetros!$A$15:$B$18,2,FALSE),"")</f>
        <v/>
      </c>
      <c r="G26" s="16"/>
      <c r="H26" s="16" t="str">
        <f>IFERROR(VLOOKUP(G26,Parâmetros!$D$15:$E$18,2,FALSE),"")</f>
        <v/>
      </c>
      <c r="I26" s="16"/>
      <c r="J26" s="16" t="str">
        <f>IFERROR(VLOOKUP(I26,Parâmetros!$G$15:$H$18,2,FALSE),"")</f>
        <v/>
      </c>
      <c r="K26" s="16"/>
      <c r="L26" s="16" t="str">
        <f>IFERROR(VLOOKUP(K26,Parâmetros!$J$15:$K$18,2,FALSE),"")</f>
        <v/>
      </c>
      <c r="M26" s="17" t="str">
        <f>IF(COUNTA(E26,G26,I26,K26)&lt;4,"",F26*Parâmetros!$B$7+H26*Parâmetros!$B$8+J26*Parâmetros!$B$9+L26*Parâmetros!$B$10)</f>
        <v/>
      </c>
      <c r="N26" s="16" t="str">
        <f>IF(M26="","",IFERROR(VLOOKUP(M26,Parâmetros!$M$15:$O$17,2,TRUE),""))</f>
        <v/>
      </c>
      <c r="O26" s="18" t="str">
        <f>IF(N26="","",VLOOKUP(N26,Parâmetros!$N$15:$O$17,2,FALSE))</f>
        <v/>
      </c>
      <c r="P26" s="18" t="str">
        <f>IF(O26="","",O26*VLOOKUP(N26,Parâmetros!$N$15:$P$17,3,FALSE))</f>
        <v/>
      </c>
      <c r="Q26" s="18" t="str">
        <f>IF(O26="","",O26*VLOOKUP(N26,Parâmetros!$N$15:$Q$17,4,FALSE))</f>
        <v/>
      </c>
      <c r="R26" s="15"/>
    </row>
    <row r="27" spans="1:18">
      <c r="A27" s="15"/>
      <c r="B27" s="15"/>
      <c r="C27" s="15"/>
      <c r="D27" s="15"/>
      <c r="E27" s="15"/>
      <c r="F27" s="16" t="str">
        <f>IFERROR(VLOOKUP(E27,Parâmetros!$A$15:$B$18,2,FALSE),"")</f>
        <v/>
      </c>
      <c r="G27" s="16"/>
      <c r="H27" s="16" t="str">
        <f>IFERROR(VLOOKUP(G27,Parâmetros!$D$15:$E$18,2,FALSE),"")</f>
        <v/>
      </c>
      <c r="I27" s="16"/>
      <c r="J27" s="16" t="str">
        <f>IFERROR(VLOOKUP(I27,Parâmetros!$G$15:$H$18,2,FALSE),"")</f>
        <v/>
      </c>
      <c r="K27" s="16"/>
      <c r="L27" s="16" t="str">
        <f>IFERROR(VLOOKUP(K27,Parâmetros!$J$15:$K$18,2,FALSE),"")</f>
        <v/>
      </c>
      <c r="M27" s="17" t="str">
        <f>IF(COUNTA(E27,G27,I27,K27)&lt;4,"",F27*Parâmetros!$B$7+H27*Parâmetros!$B$8+J27*Parâmetros!$B$9+L27*Parâmetros!$B$10)</f>
        <v/>
      </c>
      <c r="N27" s="16" t="str">
        <f>IF(M27="","",IFERROR(VLOOKUP(M27,Parâmetros!$M$15:$O$17,2,TRUE),""))</f>
        <v/>
      </c>
      <c r="O27" s="18" t="str">
        <f>IF(N27="","",VLOOKUP(N27,Parâmetros!$N$15:$O$17,2,FALSE))</f>
        <v/>
      </c>
      <c r="P27" s="18" t="str">
        <f>IF(O27="","",O27*VLOOKUP(N27,Parâmetros!$N$15:$P$17,3,FALSE))</f>
        <v/>
      </c>
      <c r="Q27" s="18" t="str">
        <f>IF(O27="","",O27*VLOOKUP(N27,Parâmetros!$N$15:$Q$17,4,FALSE))</f>
        <v/>
      </c>
      <c r="R27" s="15"/>
    </row>
    <row r="28" spans="1:18">
      <c r="A28" s="15"/>
      <c r="B28" s="15"/>
      <c r="C28" s="15"/>
      <c r="D28" s="15"/>
      <c r="E28" s="15"/>
      <c r="F28" s="16" t="str">
        <f>IFERROR(VLOOKUP(E28,Parâmetros!$A$15:$B$18,2,FALSE),"")</f>
        <v/>
      </c>
      <c r="G28" s="16"/>
      <c r="H28" s="16" t="str">
        <f>IFERROR(VLOOKUP(G28,Parâmetros!$D$15:$E$18,2,FALSE),"")</f>
        <v/>
      </c>
      <c r="I28" s="16"/>
      <c r="J28" s="16" t="str">
        <f>IFERROR(VLOOKUP(I28,Parâmetros!$G$15:$H$18,2,FALSE),"")</f>
        <v/>
      </c>
      <c r="K28" s="16"/>
      <c r="L28" s="16" t="str">
        <f>IFERROR(VLOOKUP(K28,Parâmetros!$J$15:$K$18,2,FALSE),"")</f>
        <v/>
      </c>
      <c r="M28" s="17" t="str">
        <f>IF(COUNTA(E28,G28,I28,K28)&lt;4,"",F28*Parâmetros!$B$7+H28*Parâmetros!$B$8+J28*Parâmetros!$B$9+L28*Parâmetros!$B$10)</f>
        <v/>
      </c>
      <c r="N28" s="16" t="str">
        <f>IF(M28="","",IFERROR(VLOOKUP(M28,Parâmetros!$M$15:$O$17,2,TRUE),""))</f>
        <v/>
      </c>
      <c r="O28" s="18" t="str">
        <f>IF(N28="","",VLOOKUP(N28,Parâmetros!$N$15:$O$17,2,FALSE))</f>
        <v/>
      </c>
      <c r="P28" s="18" t="str">
        <f>IF(O28="","",O28*VLOOKUP(N28,Parâmetros!$N$15:$P$17,3,FALSE))</f>
        <v/>
      </c>
      <c r="Q28" s="18" t="str">
        <f>IF(O28="","",O28*VLOOKUP(N28,Parâmetros!$N$15:$Q$17,4,FALSE))</f>
        <v/>
      </c>
      <c r="R28" s="15"/>
    </row>
    <row r="29" spans="1:18">
      <c r="A29" s="15"/>
      <c r="B29" s="15"/>
      <c r="C29" s="15"/>
      <c r="D29" s="15"/>
      <c r="E29" s="15"/>
      <c r="F29" s="16" t="str">
        <f>IFERROR(VLOOKUP(E29,Parâmetros!$A$15:$B$18,2,FALSE),"")</f>
        <v/>
      </c>
      <c r="G29" s="16"/>
      <c r="H29" s="16" t="str">
        <f>IFERROR(VLOOKUP(G29,Parâmetros!$D$15:$E$18,2,FALSE),"")</f>
        <v/>
      </c>
      <c r="I29" s="16"/>
      <c r="J29" s="16" t="str">
        <f>IFERROR(VLOOKUP(I29,Parâmetros!$G$15:$H$18,2,FALSE),"")</f>
        <v/>
      </c>
      <c r="K29" s="16"/>
      <c r="L29" s="16" t="str">
        <f>IFERROR(VLOOKUP(K29,Parâmetros!$J$15:$K$18,2,FALSE),"")</f>
        <v/>
      </c>
      <c r="M29" s="17" t="str">
        <f>IF(COUNTA(E29,G29,I29,K29)&lt;4,"",F29*Parâmetros!$B$7+H29*Parâmetros!$B$8+J29*Parâmetros!$B$9+L29*Parâmetros!$B$10)</f>
        <v/>
      </c>
      <c r="N29" s="16" t="str">
        <f>IF(M29="","",IFERROR(VLOOKUP(M29,Parâmetros!$M$15:$O$17,2,TRUE),""))</f>
        <v/>
      </c>
      <c r="O29" s="18" t="str">
        <f>IF(N29="","",VLOOKUP(N29,Parâmetros!$N$15:$O$17,2,FALSE))</f>
        <v/>
      </c>
      <c r="P29" s="18" t="str">
        <f>IF(O29="","",O29*VLOOKUP(N29,Parâmetros!$N$15:$P$17,3,FALSE))</f>
        <v/>
      </c>
      <c r="Q29" s="18" t="str">
        <f>IF(O29="","",O29*VLOOKUP(N29,Parâmetros!$N$15:$Q$17,4,FALSE))</f>
        <v/>
      </c>
      <c r="R29" s="15"/>
    </row>
    <row r="30" spans="1:18">
      <c r="A30" s="15"/>
      <c r="B30" s="15"/>
      <c r="C30" s="15"/>
      <c r="D30" s="15"/>
      <c r="E30" s="15"/>
      <c r="F30" s="16" t="str">
        <f>IFERROR(VLOOKUP(E30,Parâmetros!$A$15:$B$18,2,FALSE),"")</f>
        <v/>
      </c>
      <c r="G30" s="16"/>
      <c r="H30" s="16" t="str">
        <f>IFERROR(VLOOKUP(G30,Parâmetros!$D$15:$E$18,2,FALSE),"")</f>
        <v/>
      </c>
      <c r="I30" s="16"/>
      <c r="J30" s="16" t="str">
        <f>IFERROR(VLOOKUP(I30,Parâmetros!$G$15:$H$18,2,FALSE),"")</f>
        <v/>
      </c>
      <c r="K30" s="16"/>
      <c r="L30" s="16" t="str">
        <f>IFERROR(VLOOKUP(K30,Parâmetros!$J$15:$K$18,2,FALSE),"")</f>
        <v/>
      </c>
      <c r="M30" s="17" t="str">
        <f>IF(COUNTA(E30,G30,I30,K30)&lt;4,"",F30*Parâmetros!$B$7+H30*Parâmetros!$B$8+J30*Parâmetros!$B$9+L30*Parâmetros!$B$10)</f>
        <v/>
      </c>
      <c r="N30" s="16" t="str">
        <f>IF(M30="","",IFERROR(VLOOKUP(M30,Parâmetros!$M$15:$O$17,2,TRUE),""))</f>
        <v/>
      </c>
      <c r="O30" s="18" t="str">
        <f>IF(N30="","",VLOOKUP(N30,Parâmetros!$N$15:$O$17,2,FALSE))</f>
        <v/>
      </c>
      <c r="P30" s="18" t="str">
        <f>IF(O30="","",O30*VLOOKUP(N30,Parâmetros!$N$15:$P$17,3,FALSE))</f>
        <v/>
      </c>
      <c r="Q30" s="18" t="str">
        <f>IF(O30="","",O30*VLOOKUP(N30,Parâmetros!$N$15:$Q$17,4,FALSE))</f>
        <v/>
      </c>
      <c r="R30" s="15"/>
    </row>
    <row r="31" spans="1:18">
      <c r="A31" s="15"/>
      <c r="B31" s="15"/>
      <c r="C31" s="15"/>
      <c r="D31" s="15"/>
      <c r="E31" s="15"/>
      <c r="F31" s="16" t="str">
        <f>IFERROR(VLOOKUP(E31,Parâmetros!$A$15:$B$18,2,FALSE),"")</f>
        <v/>
      </c>
      <c r="G31" s="16"/>
      <c r="H31" s="16" t="str">
        <f>IFERROR(VLOOKUP(G31,Parâmetros!$D$15:$E$18,2,FALSE),"")</f>
        <v/>
      </c>
      <c r="I31" s="16"/>
      <c r="J31" s="16" t="str">
        <f>IFERROR(VLOOKUP(I31,Parâmetros!$G$15:$H$18,2,FALSE),"")</f>
        <v/>
      </c>
      <c r="K31" s="16"/>
      <c r="L31" s="16" t="str">
        <f>IFERROR(VLOOKUP(K31,Parâmetros!$J$15:$K$18,2,FALSE),"")</f>
        <v/>
      </c>
      <c r="M31" s="17" t="str">
        <f>IF(COUNTA(E31,G31,I31,K31)&lt;4,"",F31*Parâmetros!$B$7+H31*Parâmetros!$B$8+J31*Parâmetros!$B$9+L31*Parâmetros!$B$10)</f>
        <v/>
      </c>
      <c r="N31" s="16" t="str">
        <f>IF(M31="","",IFERROR(VLOOKUP(M31,Parâmetros!$M$15:$O$17,2,TRUE),""))</f>
        <v/>
      </c>
      <c r="O31" s="18" t="str">
        <f>IF(N31="","",VLOOKUP(N31,Parâmetros!$N$15:$O$17,2,FALSE))</f>
        <v/>
      </c>
      <c r="P31" s="18" t="str">
        <f>IF(O31="","",O31*VLOOKUP(N31,Parâmetros!$N$15:$P$17,3,FALSE))</f>
        <v/>
      </c>
      <c r="Q31" s="18" t="str">
        <f>IF(O31="","",O31*VLOOKUP(N31,Parâmetros!$N$15:$Q$17,4,FALSE))</f>
        <v/>
      </c>
      <c r="R31" s="15"/>
    </row>
    <row r="32" spans="1:18">
      <c r="A32" s="15"/>
      <c r="B32" s="15"/>
      <c r="C32" s="15"/>
      <c r="D32" s="15"/>
      <c r="E32" s="15"/>
      <c r="F32" s="16" t="str">
        <f>IFERROR(VLOOKUP(E32,Parâmetros!$A$15:$B$18,2,FALSE),"")</f>
        <v/>
      </c>
      <c r="G32" s="16"/>
      <c r="H32" s="16" t="str">
        <f>IFERROR(VLOOKUP(G32,Parâmetros!$D$15:$E$18,2,FALSE),"")</f>
        <v/>
      </c>
      <c r="I32" s="16"/>
      <c r="J32" s="16" t="str">
        <f>IFERROR(VLOOKUP(I32,Parâmetros!$G$15:$H$18,2,FALSE),"")</f>
        <v/>
      </c>
      <c r="K32" s="16"/>
      <c r="L32" s="16" t="str">
        <f>IFERROR(VLOOKUP(K32,Parâmetros!$J$15:$K$18,2,FALSE),"")</f>
        <v/>
      </c>
      <c r="M32" s="17" t="str">
        <f>IF(COUNTA(E32,G32,I32,K32)&lt;4,"",F32*Parâmetros!$B$7+H32*Parâmetros!$B$8+J32*Parâmetros!$B$9+L32*Parâmetros!$B$10)</f>
        <v/>
      </c>
      <c r="N32" s="16" t="str">
        <f>IF(M32="","",IFERROR(VLOOKUP(M32,Parâmetros!$M$15:$O$17,2,TRUE),""))</f>
        <v/>
      </c>
      <c r="O32" s="18" t="str">
        <f>IF(N32="","",VLOOKUP(N32,Parâmetros!$N$15:$O$17,2,FALSE))</f>
        <v/>
      </c>
      <c r="P32" s="18" t="str">
        <f>IF(O32="","",O32*VLOOKUP(N32,Parâmetros!$N$15:$P$17,3,FALSE))</f>
        <v/>
      </c>
      <c r="Q32" s="18" t="str">
        <f>IF(O32="","",O32*VLOOKUP(N32,Parâmetros!$N$15:$Q$17,4,FALSE))</f>
        <v/>
      </c>
      <c r="R32" s="15"/>
    </row>
    <row r="33" spans="1:18">
      <c r="A33" s="15"/>
      <c r="B33" s="15"/>
      <c r="C33" s="15"/>
      <c r="D33" s="15"/>
      <c r="E33" s="15"/>
      <c r="F33" s="16" t="str">
        <f>IFERROR(VLOOKUP(E33,Parâmetros!$A$15:$B$18,2,FALSE),"")</f>
        <v/>
      </c>
      <c r="G33" s="16"/>
      <c r="H33" s="16" t="str">
        <f>IFERROR(VLOOKUP(G33,Parâmetros!$D$15:$E$18,2,FALSE),"")</f>
        <v/>
      </c>
      <c r="I33" s="16"/>
      <c r="J33" s="16" t="str">
        <f>IFERROR(VLOOKUP(I33,Parâmetros!$G$15:$H$18,2,FALSE),"")</f>
        <v/>
      </c>
      <c r="K33" s="16"/>
      <c r="L33" s="16" t="str">
        <f>IFERROR(VLOOKUP(K33,Parâmetros!$J$15:$K$18,2,FALSE),"")</f>
        <v/>
      </c>
      <c r="M33" s="17" t="str">
        <f>IF(COUNTA(E33,G33,I33,K33)&lt;4,"",F33*Parâmetros!$B$7+H33*Parâmetros!$B$8+J33*Parâmetros!$B$9+L33*Parâmetros!$B$10)</f>
        <v/>
      </c>
      <c r="N33" s="16" t="str">
        <f>IF(M33="","",IFERROR(VLOOKUP(M33,Parâmetros!$M$15:$O$17,2,TRUE),""))</f>
        <v/>
      </c>
      <c r="O33" s="18" t="str">
        <f>IF(N33="","",VLOOKUP(N33,Parâmetros!$N$15:$O$17,2,FALSE))</f>
        <v/>
      </c>
      <c r="P33" s="18" t="str">
        <f>IF(O33="","",O33*VLOOKUP(N33,Parâmetros!$N$15:$P$17,3,FALSE))</f>
        <v/>
      </c>
      <c r="Q33" s="18" t="str">
        <f>IF(O33="","",O33*VLOOKUP(N33,Parâmetros!$N$15:$Q$17,4,FALSE))</f>
        <v/>
      </c>
      <c r="R33" s="15"/>
    </row>
    <row r="34" spans="1:18">
      <c r="A34" s="15"/>
      <c r="B34" s="15"/>
      <c r="C34" s="15"/>
      <c r="D34" s="15"/>
      <c r="E34" s="15"/>
      <c r="F34" s="16" t="str">
        <f>IFERROR(VLOOKUP(E34,Parâmetros!$A$15:$B$18,2,FALSE),"")</f>
        <v/>
      </c>
      <c r="G34" s="16"/>
      <c r="H34" s="16" t="str">
        <f>IFERROR(VLOOKUP(G34,Parâmetros!$D$15:$E$18,2,FALSE),"")</f>
        <v/>
      </c>
      <c r="I34" s="16"/>
      <c r="J34" s="16" t="str">
        <f>IFERROR(VLOOKUP(I34,Parâmetros!$G$15:$H$18,2,FALSE),"")</f>
        <v/>
      </c>
      <c r="K34" s="16"/>
      <c r="L34" s="16" t="str">
        <f>IFERROR(VLOOKUP(K34,Parâmetros!$J$15:$K$18,2,FALSE),"")</f>
        <v/>
      </c>
      <c r="M34" s="17" t="str">
        <f>IF(COUNTA(E34,G34,I34,K34)&lt;4,"",F34*Parâmetros!$B$7+H34*Parâmetros!$B$8+J34*Parâmetros!$B$9+L34*Parâmetros!$B$10)</f>
        <v/>
      </c>
      <c r="N34" s="16" t="str">
        <f>IF(M34="","",IFERROR(VLOOKUP(M34,Parâmetros!$M$15:$O$17,2,TRUE),""))</f>
        <v/>
      </c>
      <c r="O34" s="18" t="str">
        <f>IF(N34="","",VLOOKUP(N34,Parâmetros!$N$15:$O$17,2,FALSE))</f>
        <v/>
      </c>
      <c r="P34" s="18" t="str">
        <f>IF(O34="","",O34*VLOOKUP(N34,Parâmetros!$N$15:$P$17,3,FALSE))</f>
        <v/>
      </c>
      <c r="Q34" s="18" t="str">
        <f>IF(O34="","",O34*VLOOKUP(N34,Parâmetros!$N$15:$Q$17,4,FALSE))</f>
        <v/>
      </c>
      <c r="R34" s="15"/>
    </row>
    <row r="35" spans="1:18">
      <c r="A35" s="15"/>
      <c r="B35" s="15"/>
      <c r="C35" s="15"/>
      <c r="D35" s="15"/>
      <c r="E35" s="15"/>
      <c r="F35" s="16" t="str">
        <f>IFERROR(VLOOKUP(E35,Parâmetros!$A$15:$B$18,2,FALSE),"")</f>
        <v/>
      </c>
      <c r="G35" s="16"/>
      <c r="H35" s="16" t="str">
        <f>IFERROR(VLOOKUP(G35,Parâmetros!$D$15:$E$18,2,FALSE),"")</f>
        <v/>
      </c>
      <c r="I35" s="16"/>
      <c r="J35" s="16" t="str">
        <f>IFERROR(VLOOKUP(I35,Parâmetros!$G$15:$H$18,2,FALSE),"")</f>
        <v/>
      </c>
      <c r="K35" s="16"/>
      <c r="L35" s="16" t="str">
        <f>IFERROR(VLOOKUP(K35,Parâmetros!$J$15:$K$18,2,FALSE),"")</f>
        <v/>
      </c>
      <c r="M35" s="17" t="str">
        <f>IF(COUNTA(E35,G35,I35,K35)&lt;4,"",F35*Parâmetros!$B$7+H35*Parâmetros!$B$8+J35*Parâmetros!$B$9+L35*Parâmetros!$B$10)</f>
        <v/>
      </c>
      <c r="N35" s="16" t="str">
        <f>IF(M35="","",IFERROR(VLOOKUP(M35,Parâmetros!$M$15:$O$17,2,TRUE),""))</f>
        <v/>
      </c>
      <c r="O35" s="18" t="str">
        <f>IF(N35="","",VLOOKUP(N35,Parâmetros!$N$15:$O$17,2,FALSE))</f>
        <v/>
      </c>
      <c r="P35" s="18" t="str">
        <f>IF(O35="","",O35*VLOOKUP(N35,Parâmetros!$N$15:$P$17,3,FALSE))</f>
        <v/>
      </c>
      <c r="Q35" s="18" t="str">
        <f>IF(O35="","",O35*VLOOKUP(N35,Parâmetros!$N$15:$Q$17,4,FALSE))</f>
        <v/>
      </c>
      <c r="R35" s="15"/>
    </row>
    <row r="36" spans="1:18">
      <c r="A36" s="15"/>
      <c r="B36" s="15"/>
      <c r="C36" s="15"/>
      <c r="D36" s="15"/>
      <c r="E36" s="15"/>
      <c r="F36" s="16" t="str">
        <f>IFERROR(VLOOKUP(E36,Parâmetros!$A$15:$B$18,2,FALSE),"")</f>
        <v/>
      </c>
      <c r="G36" s="16"/>
      <c r="H36" s="16" t="str">
        <f>IFERROR(VLOOKUP(G36,Parâmetros!$D$15:$E$18,2,FALSE),"")</f>
        <v/>
      </c>
      <c r="I36" s="16"/>
      <c r="J36" s="16" t="str">
        <f>IFERROR(VLOOKUP(I36,Parâmetros!$G$15:$H$18,2,FALSE),"")</f>
        <v/>
      </c>
      <c r="K36" s="16"/>
      <c r="L36" s="16" t="str">
        <f>IFERROR(VLOOKUP(K36,Parâmetros!$J$15:$K$18,2,FALSE),"")</f>
        <v/>
      </c>
      <c r="M36" s="17" t="str">
        <f>IF(COUNTA(E36,G36,I36,K36)&lt;4,"",F36*Parâmetros!$B$7+H36*Parâmetros!$B$8+J36*Parâmetros!$B$9+L36*Parâmetros!$B$10)</f>
        <v/>
      </c>
      <c r="N36" s="16" t="str">
        <f>IF(M36="","",IFERROR(VLOOKUP(M36,Parâmetros!$M$15:$O$17,2,TRUE),""))</f>
        <v/>
      </c>
      <c r="O36" s="18" t="str">
        <f>IF(N36="","",VLOOKUP(N36,Parâmetros!$N$15:$O$17,2,FALSE))</f>
        <v/>
      </c>
      <c r="P36" s="18" t="str">
        <f>IF(O36="","",O36*VLOOKUP(N36,Parâmetros!$N$15:$P$17,3,FALSE))</f>
        <v/>
      </c>
      <c r="Q36" s="18" t="str">
        <f>IF(O36="","",O36*VLOOKUP(N36,Parâmetros!$N$15:$Q$17,4,FALSE))</f>
        <v/>
      </c>
      <c r="R36" s="15"/>
    </row>
    <row r="37" spans="1:18">
      <c r="A37" s="15"/>
      <c r="B37" s="15"/>
      <c r="C37" s="15"/>
      <c r="D37" s="15"/>
      <c r="E37" s="15"/>
      <c r="F37" s="16" t="str">
        <f>IFERROR(VLOOKUP(E37,Parâmetros!$A$15:$B$18,2,FALSE),"")</f>
        <v/>
      </c>
      <c r="G37" s="16"/>
      <c r="H37" s="16" t="str">
        <f>IFERROR(VLOOKUP(G37,Parâmetros!$D$15:$E$18,2,FALSE),"")</f>
        <v/>
      </c>
      <c r="I37" s="16"/>
      <c r="J37" s="16" t="str">
        <f>IFERROR(VLOOKUP(I37,Parâmetros!$G$15:$H$18,2,FALSE),"")</f>
        <v/>
      </c>
      <c r="K37" s="16"/>
      <c r="L37" s="16" t="str">
        <f>IFERROR(VLOOKUP(K37,Parâmetros!$J$15:$K$18,2,FALSE),"")</f>
        <v/>
      </c>
      <c r="M37" s="17" t="str">
        <f>IF(COUNTA(E37,G37,I37,K37)&lt;4,"",F37*Parâmetros!$B$7+H37*Parâmetros!$B$8+J37*Parâmetros!$B$9+L37*Parâmetros!$B$10)</f>
        <v/>
      </c>
      <c r="N37" s="16" t="str">
        <f>IF(M37="","",IFERROR(VLOOKUP(M37,Parâmetros!$M$15:$O$17,2,TRUE),""))</f>
        <v/>
      </c>
      <c r="O37" s="18" t="str">
        <f>IF(N37="","",VLOOKUP(N37,Parâmetros!$N$15:$O$17,2,FALSE))</f>
        <v/>
      </c>
      <c r="P37" s="18" t="str">
        <f>IF(O37="","",O37*VLOOKUP(N37,Parâmetros!$N$15:$P$17,3,FALSE))</f>
        <v/>
      </c>
      <c r="Q37" s="18" t="str">
        <f>IF(O37="","",O37*VLOOKUP(N37,Parâmetros!$N$15:$Q$17,4,FALSE))</f>
        <v/>
      </c>
      <c r="R37" s="15"/>
    </row>
    <row r="38" spans="1:18">
      <c r="A38" s="15"/>
      <c r="B38" s="15"/>
      <c r="C38" s="15"/>
      <c r="D38" s="15"/>
      <c r="E38" s="15"/>
      <c r="F38" s="16" t="str">
        <f>IFERROR(VLOOKUP(E38,Parâmetros!$A$15:$B$18,2,FALSE),"")</f>
        <v/>
      </c>
      <c r="G38" s="16"/>
      <c r="H38" s="16" t="str">
        <f>IFERROR(VLOOKUP(G38,Parâmetros!$D$15:$E$18,2,FALSE),"")</f>
        <v/>
      </c>
      <c r="I38" s="16"/>
      <c r="J38" s="16" t="str">
        <f>IFERROR(VLOOKUP(I38,Parâmetros!$G$15:$H$18,2,FALSE),"")</f>
        <v/>
      </c>
      <c r="K38" s="16"/>
      <c r="L38" s="16" t="str">
        <f>IFERROR(VLOOKUP(K38,Parâmetros!$J$15:$K$18,2,FALSE),"")</f>
        <v/>
      </c>
      <c r="M38" s="17" t="str">
        <f>IF(COUNTA(E38,G38,I38,K38)&lt;4,"",F38*Parâmetros!$B$7+H38*Parâmetros!$B$8+J38*Parâmetros!$B$9+L38*Parâmetros!$B$10)</f>
        <v/>
      </c>
      <c r="N38" s="16" t="str">
        <f>IF(M38="","",IFERROR(VLOOKUP(M38,Parâmetros!$M$15:$O$17,2,TRUE),""))</f>
        <v/>
      </c>
      <c r="O38" s="18" t="str">
        <f>IF(N38="","",VLOOKUP(N38,Parâmetros!$N$15:$O$17,2,FALSE))</f>
        <v/>
      </c>
      <c r="P38" s="18" t="str">
        <f>IF(O38="","",O38*VLOOKUP(N38,Parâmetros!$N$15:$P$17,3,FALSE))</f>
        <v/>
      </c>
      <c r="Q38" s="18" t="str">
        <f>IF(O38="","",O38*VLOOKUP(N38,Parâmetros!$N$15:$Q$17,4,FALSE))</f>
        <v/>
      </c>
      <c r="R38" s="15"/>
    </row>
    <row r="39" spans="1:18">
      <c r="A39" s="15"/>
      <c r="B39" s="15"/>
      <c r="C39" s="15"/>
      <c r="D39" s="15"/>
      <c r="E39" s="15"/>
      <c r="F39" s="16" t="str">
        <f>IFERROR(VLOOKUP(E39,Parâmetros!$A$15:$B$18,2,FALSE),"")</f>
        <v/>
      </c>
      <c r="G39" s="16"/>
      <c r="H39" s="16" t="str">
        <f>IFERROR(VLOOKUP(G39,Parâmetros!$D$15:$E$18,2,FALSE),"")</f>
        <v/>
      </c>
      <c r="I39" s="16"/>
      <c r="J39" s="16" t="str">
        <f>IFERROR(VLOOKUP(I39,Parâmetros!$G$15:$H$18,2,FALSE),"")</f>
        <v/>
      </c>
      <c r="K39" s="16"/>
      <c r="L39" s="16" t="str">
        <f>IFERROR(VLOOKUP(K39,Parâmetros!$J$15:$K$18,2,FALSE),"")</f>
        <v/>
      </c>
      <c r="M39" s="17" t="str">
        <f>IF(COUNTA(E39,G39,I39,K39)&lt;4,"",F39*Parâmetros!$B$7+H39*Parâmetros!$B$8+J39*Parâmetros!$B$9+L39*Parâmetros!$B$10)</f>
        <v/>
      </c>
      <c r="N39" s="16" t="str">
        <f>IF(M39="","",IFERROR(VLOOKUP(M39,Parâmetros!$M$15:$O$17,2,TRUE),""))</f>
        <v/>
      </c>
      <c r="O39" s="18" t="str">
        <f>IF(N39="","",VLOOKUP(N39,Parâmetros!$N$15:$O$17,2,FALSE))</f>
        <v/>
      </c>
      <c r="P39" s="18" t="str">
        <f>IF(O39="","",O39*VLOOKUP(N39,Parâmetros!$N$15:$P$17,3,FALSE))</f>
        <v/>
      </c>
      <c r="Q39" s="18" t="str">
        <f>IF(O39="","",O39*VLOOKUP(N39,Parâmetros!$N$15:$Q$17,4,FALSE))</f>
        <v/>
      </c>
      <c r="R39" s="15"/>
    </row>
    <row r="40" spans="1:18">
      <c r="A40" s="15"/>
      <c r="B40" s="15"/>
      <c r="C40" s="15"/>
      <c r="D40" s="15"/>
      <c r="E40" s="15"/>
      <c r="F40" s="16" t="str">
        <f>IFERROR(VLOOKUP(E40,Parâmetros!$A$15:$B$18,2,FALSE),"")</f>
        <v/>
      </c>
      <c r="G40" s="16"/>
      <c r="H40" s="16" t="str">
        <f>IFERROR(VLOOKUP(G40,Parâmetros!$D$15:$E$18,2,FALSE),"")</f>
        <v/>
      </c>
      <c r="I40" s="16"/>
      <c r="J40" s="16" t="str">
        <f>IFERROR(VLOOKUP(I40,Parâmetros!$G$15:$H$18,2,FALSE),"")</f>
        <v/>
      </c>
      <c r="K40" s="16"/>
      <c r="L40" s="16" t="str">
        <f>IFERROR(VLOOKUP(K40,Parâmetros!$J$15:$K$18,2,FALSE),"")</f>
        <v/>
      </c>
      <c r="M40" s="17" t="str">
        <f>IF(COUNTA(E40,G40,I40,K40)&lt;4,"",F40*Parâmetros!$B$7+H40*Parâmetros!$B$8+J40*Parâmetros!$B$9+L40*Parâmetros!$B$10)</f>
        <v/>
      </c>
      <c r="N40" s="16" t="str">
        <f>IF(M40="","",IFERROR(VLOOKUP(M40,Parâmetros!$M$15:$O$17,2,TRUE),""))</f>
        <v/>
      </c>
      <c r="O40" s="18" t="str">
        <f>IF(N40="","",VLOOKUP(N40,Parâmetros!$N$15:$O$17,2,FALSE))</f>
        <v/>
      </c>
      <c r="P40" s="18" t="str">
        <f>IF(O40="","",O40*VLOOKUP(N40,Parâmetros!$N$15:$P$17,3,FALSE))</f>
        <v/>
      </c>
      <c r="Q40" s="18" t="str">
        <f>IF(O40="","",O40*VLOOKUP(N40,Parâmetros!$N$15:$Q$17,4,FALSE))</f>
        <v/>
      </c>
      <c r="R40" s="15"/>
    </row>
    <row r="41" spans="1:18">
      <c r="A41" s="15"/>
      <c r="B41" s="15"/>
      <c r="C41" s="15"/>
      <c r="D41" s="15"/>
      <c r="E41" s="15"/>
      <c r="F41" s="16" t="str">
        <f>IFERROR(VLOOKUP(E41,Parâmetros!$A$15:$B$18,2,FALSE),"")</f>
        <v/>
      </c>
      <c r="G41" s="16"/>
      <c r="H41" s="16" t="str">
        <f>IFERROR(VLOOKUP(G41,Parâmetros!$D$15:$E$18,2,FALSE),"")</f>
        <v/>
      </c>
      <c r="I41" s="16"/>
      <c r="J41" s="16" t="str">
        <f>IFERROR(VLOOKUP(I41,Parâmetros!$G$15:$H$18,2,FALSE),"")</f>
        <v/>
      </c>
      <c r="K41" s="16"/>
      <c r="L41" s="16" t="str">
        <f>IFERROR(VLOOKUP(K41,Parâmetros!$J$15:$K$18,2,FALSE),"")</f>
        <v/>
      </c>
      <c r="M41" s="17" t="str">
        <f>IF(COUNTA(E41,G41,I41,K41)&lt;4,"",F41*Parâmetros!$B$7+H41*Parâmetros!$B$8+J41*Parâmetros!$B$9+L41*Parâmetros!$B$10)</f>
        <v/>
      </c>
      <c r="N41" s="16" t="str">
        <f>IF(M41="","",IFERROR(VLOOKUP(M41,Parâmetros!$M$15:$O$17,2,TRUE),""))</f>
        <v/>
      </c>
      <c r="O41" s="18" t="str">
        <f>IF(N41="","",VLOOKUP(N41,Parâmetros!$N$15:$O$17,2,FALSE))</f>
        <v/>
      </c>
      <c r="P41" s="18" t="str">
        <f>IF(O41="","",O41*VLOOKUP(N41,Parâmetros!$N$15:$P$17,3,FALSE))</f>
        <v/>
      </c>
      <c r="Q41" s="18" t="str">
        <f>IF(O41="","",O41*VLOOKUP(N41,Parâmetros!$N$15:$Q$17,4,FALSE))</f>
        <v/>
      </c>
      <c r="R41" s="15"/>
    </row>
    <row r="42" spans="1:18">
      <c r="A42" s="15"/>
      <c r="B42" s="15"/>
      <c r="C42" s="15"/>
      <c r="D42" s="15"/>
      <c r="E42" s="15"/>
      <c r="F42" s="16" t="str">
        <f>IFERROR(VLOOKUP(E42,Parâmetros!$A$15:$B$18,2,FALSE),"")</f>
        <v/>
      </c>
      <c r="G42" s="16"/>
      <c r="H42" s="16" t="str">
        <f>IFERROR(VLOOKUP(G42,Parâmetros!$D$15:$E$18,2,FALSE),"")</f>
        <v/>
      </c>
      <c r="I42" s="16"/>
      <c r="J42" s="16" t="str">
        <f>IFERROR(VLOOKUP(I42,Parâmetros!$G$15:$H$18,2,FALSE),"")</f>
        <v/>
      </c>
      <c r="K42" s="16"/>
      <c r="L42" s="16" t="str">
        <f>IFERROR(VLOOKUP(K42,Parâmetros!$J$15:$K$18,2,FALSE),"")</f>
        <v/>
      </c>
      <c r="M42" s="17" t="str">
        <f>IF(COUNTA(E42,G42,I42,K42)&lt;4,"",F42*Parâmetros!$B$7+H42*Parâmetros!$B$8+J42*Parâmetros!$B$9+L42*Parâmetros!$B$10)</f>
        <v/>
      </c>
      <c r="N42" s="16" t="str">
        <f>IF(M42="","",IFERROR(VLOOKUP(M42,Parâmetros!$M$15:$O$17,2,TRUE),""))</f>
        <v/>
      </c>
      <c r="O42" s="18" t="str">
        <f>IF(N42="","",VLOOKUP(N42,Parâmetros!$N$15:$O$17,2,FALSE))</f>
        <v/>
      </c>
      <c r="P42" s="18" t="str">
        <f>IF(O42="","",O42*VLOOKUP(N42,Parâmetros!$N$15:$P$17,3,FALSE))</f>
        <v/>
      </c>
      <c r="Q42" s="18" t="str">
        <f>IF(O42="","",O42*VLOOKUP(N42,Parâmetros!$N$15:$Q$17,4,FALSE))</f>
        <v/>
      </c>
      <c r="R42" s="15"/>
    </row>
    <row r="43" spans="1:18">
      <c r="A43" s="15"/>
      <c r="B43" s="15"/>
      <c r="C43" s="15"/>
      <c r="D43" s="15"/>
      <c r="E43" s="15"/>
      <c r="F43" s="16" t="str">
        <f>IFERROR(VLOOKUP(E43,Parâmetros!$A$15:$B$18,2,FALSE),"")</f>
        <v/>
      </c>
      <c r="G43" s="16"/>
      <c r="H43" s="16" t="str">
        <f>IFERROR(VLOOKUP(G43,Parâmetros!$D$15:$E$18,2,FALSE),"")</f>
        <v/>
      </c>
      <c r="I43" s="16"/>
      <c r="J43" s="16" t="str">
        <f>IFERROR(VLOOKUP(I43,Parâmetros!$G$15:$H$18,2,FALSE),"")</f>
        <v/>
      </c>
      <c r="K43" s="16"/>
      <c r="L43" s="16" t="str">
        <f>IFERROR(VLOOKUP(K43,Parâmetros!$J$15:$K$18,2,FALSE),"")</f>
        <v/>
      </c>
      <c r="M43" s="17" t="str">
        <f>IF(COUNTA(E43,G43,I43,K43)&lt;4,"",F43*Parâmetros!$B$7+H43*Parâmetros!$B$8+J43*Parâmetros!$B$9+L43*Parâmetros!$B$10)</f>
        <v/>
      </c>
      <c r="N43" s="16" t="str">
        <f>IF(M43="","",IFERROR(VLOOKUP(M43,Parâmetros!$M$15:$O$17,2,TRUE),""))</f>
        <v/>
      </c>
      <c r="O43" s="18" t="str">
        <f>IF(N43="","",VLOOKUP(N43,Parâmetros!$N$15:$O$17,2,FALSE))</f>
        <v/>
      </c>
      <c r="P43" s="18" t="str">
        <f>IF(O43="","",O43*VLOOKUP(N43,Parâmetros!$N$15:$P$17,3,FALSE))</f>
        <v/>
      </c>
      <c r="Q43" s="18" t="str">
        <f>IF(O43="","",O43*VLOOKUP(N43,Parâmetros!$N$15:$Q$17,4,FALSE))</f>
        <v/>
      </c>
      <c r="R43" s="15"/>
    </row>
    <row r="44" spans="1:18">
      <c r="A44" s="15"/>
      <c r="B44" s="15"/>
      <c r="C44" s="15"/>
      <c r="D44" s="15"/>
      <c r="E44" s="15"/>
      <c r="F44" s="16" t="str">
        <f>IFERROR(VLOOKUP(E44,Parâmetros!$A$15:$B$18,2,FALSE),"")</f>
        <v/>
      </c>
      <c r="G44" s="16"/>
      <c r="H44" s="16" t="str">
        <f>IFERROR(VLOOKUP(G44,Parâmetros!$D$15:$E$18,2,FALSE),"")</f>
        <v/>
      </c>
      <c r="I44" s="16"/>
      <c r="J44" s="16" t="str">
        <f>IFERROR(VLOOKUP(I44,Parâmetros!$G$15:$H$18,2,FALSE),"")</f>
        <v/>
      </c>
      <c r="K44" s="16"/>
      <c r="L44" s="16" t="str">
        <f>IFERROR(VLOOKUP(K44,Parâmetros!$J$15:$K$18,2,FALSE),"")</f>
        <v/>
      </c>
      <c r="M44" s="17" t="str">
        <f>IF(COUNTA(E44,G44,I44,K44)&lt;4,"",F44*Parâmetros!$B$7+H44*Parâmetros!$B$8+J44*Parâmetros!$B$9+L44*Parâmetros!$B$10)</f>
        <v/>
      </c>
      <c r="N44" s="16" t="str">
        <f>IF(M44="","",IFERROR(VLOOKUP(M44,Parâmetros!$M$15:$O$17,2,TRUE),""))</f>
        <v/>
      </c>
      <c r="O44" s="18" t="str">
        <f>IF(N44="","",VLOOKUP(N44,Parâmetros!$N$15:$O$17,2,FALSE))</f>
        <v/>
      </c>
      <c r="P44" s="18" t="str">
        <f>IF(O44="","",O44*VLOOKUP(N44,Parâmetros!$N$15:$P$17,3,FALSE))</f>
        <v/>
      </c>
      <c r="Q44" s="18" t="str">
        <f>IF(O44="","",O44*VLOOKUP(N44,Parâmetros!$N$15:$Q$17,4,FALSE))</f>
        <v/>
      </c>
      <c r="R44" s="15"/>
    </row>
    <row r="45" spans="1:18">
      <c r="A45" s="15"/>
      <c r="B45" s="15"/>
      <c r="C45" s="15"/>
      <c r="D45" s="15"/>
      <c r="E45" s="15"/>
      <c r="F45" s="16" t="str">
        <f>IFERROR(VLOOKUP(E45,Parâmetros!$A$15:$B$18,2,FALSE),"")</f>
        <v/>
      </c>
      <c r="G45" s="16"/>
      <c r="H45" s="16" t="str">
        <f>IFERROR(VLOOKUP(G45,Parâmetros!$D$15:$E$18,2,FALSE),"")</f>
        <v/>
      </c>
      <c r="I45" s="16"/>
      <c r="J45" s="16" t="str">
        <f>IFERROR(VLOOKUP(I45,Parâmetros!$G$15:$H$18,2,FALSE),"")</f>
        <v/>
      </c>
      <c r="K45" s="16"/>
      <c r="L45" s="16" t="str">
        <f>IFERROR(VLOOKUP(K45,Parâmetros!$J$15:$K$18,2,FALSE),"")</f>
        <v/>
      </c>
      <c r="M45" s="17" t="str">
        <f>IF(COUNTA(E45,G45,I45,K45)&lt;4,"",F45*Parâmetros!$B$7+H45*Parâmetros!$B$8+J45*Parâmetros!$B$9+L45*Parâmetros!$B$10)</f>
        <v/>
      </c>
      <c r="N45" s="16" t="str">
        <f>IF(M45="","",IFERROR(VLOOKUP(M45,Parâmetros!$M$15:$O$17,2,TRUE),""))</f>
        <v/>
      </c>
      <c r="O45" s="18" t="str">
        <f>IF(N45="","",VLOOKUP(N45,Parâmetros!$N$15:$O$17,2,FALSE))</f>
        <v/>
      </c>
      <c r="P45" s="18" t="str">
        <f>IF(O45="","",O45*VLOOKUP(N45,Parâmetros!$N$15:$P$17,3,FALSE))</f>
        <v/>
      </c>
      <c r="Q45" s="18" t="str">
        <f>IF(O45="","",O45*VLOOKUP(N45,Parâmetros!$N$15:$Q$17,4,FALSE))</f>
        <v/>
      </c>
      <c r="R45" s="15"/>
    </row>
    <row r="46" spans="1:18">
      <c r="A46" s="15"/>
      <c r="B46" s="15"/>
      <c r="C46" s="15"/>
      <c r="D46" s="15"/>
      <c r="E46" s="15"/>
      <c r="F46" s="16" t="str">
        <f>IFERROR(VLOOKUP(E46,Parâmetros!$A$15:$B$18,2,FALSE),"")</f>
        <v/>
      </c>
      <c r="G46" s="16"/>
      <c r="H46" s="16" t="str">
        <f>IFERROR(VLOOKUP(G46,Parâmetros!$D$15:$E$18,2,FALSE),"")</f>
        <v/>
      </c>
      <c r="I46" s="16"/>
      <c r="J46" s="16" t="str">
        <f>IFERROR(VLOOKUP(I46,Parâmetros!$G$15:$H$18,2,FALSE),"")</f>
        <v/>
      </c>
      <c r="K46" s="16"/>
      <c r="L46" s="16" t="str">
        <f>IFERROR(VLOOKUP(K46,Parâmetros!$J$15:$K$18,2,FALSE),"")</f>
        <v/>
      </c>
      <c r="M46" s="17" t="str">
        <f>IF(COUNTA(E46,G46,I46,K46)&lt;4,"",F46*Parâmetros!$B$7+H46*Parâmetros!$B$8+J46*Parâmetros!$B$9+L46*Parâmetros!$B$10)</f>
        <v/>
      </c>
      <c r="N46" s="16" t="str">
        <f>IF(M46="","",IFERROR(VLOOKUP(M46,Parâmetros!$M$15:$O$17,2,TRUE),""))</f>
        <v/>
      </c>
      <c r="O46" s="18" t="str">
        <f>IF(N46="","",VLOOKUP(N46,Parâmetros!$N$15:$O$17,2,FALSE))</f>
        <v/>
      </c>
      <c r="P46" s="18" t="str">
        <f>IF(O46="","",O46*VLOOKUP(N46,Parâmetros!$N$15:$P$17,3,FALSE))</f>
        <v/>
      </c>
      <c r="Q46" s="18" t="str">
        <f>IF(O46="","",O46*VLOOKUP(N46,Parâmetros!$N$15:$Q$17,4,FALSE))</f>
        <v/>
      </c>
      <c r="R46" s="15"/>
    </row>
    <row r="47" spans="1:18">
      <c r="A47" s="15"/>
      <c r="B47" s="15"/>
      <c r="C47" s="15"/>
      <c r="D47" s="15"/>
      <c r="E47" s="15"/>
      <c r="F47" s="16" t="str">
        <f>IFERROR(VLOOKUP(E47,Parâmetros!$A$15:$B$18,2,FALSE),"")</f>
        <v/>
      </c>
      <c r="G47" s="16"/>
      <c r="H47" s="16" t="str">
        <f>IFERROR(VLOOKUP(G47,Parâmetros!$D$15:$E$18,2,FALSE),"")</f>
        <v/>
      </c>
      <c r="I47" s="16"/>
      <c r="J47" s="16" t="str">
        <f>IFERROR(VLOOKUP(I47,Parâmetros!$G$15:$H$18,2,FALSE),"")</f>
        <v/>
      </c>
      <c r="K47" s="16"/>
      <c r="L47" s="16" t="str">
        <f>IFERROR(VLOOKUP(K47,Parâmetros!$J$15:$K$18,2,FALSE),"")</f>
        <v/>
      </c>
      <c r="M47" s="17" t="str">
        <f>IF(COUNTA(E47,G47,I47,K47)&lt;4,"",F47*Parâmetros!$B$7+H47*Parâmetros!$B$8+J47*Parâmetros!$B$9+L47*Parâmetros!$B$10)</f>
        <v/>
      </c>
      <c r="N47" s="16" t="str">
        <f>IF(M47="","",IFERROR(VLOOKUP(M47,Parâmetros!$M$15:$O$17,2,TRUE),""))</f>
        <v/>
      </c>
      <c r="O47" s="18" t="str">
        <f>IF(N47="","",VLOOKUP(N47,Parâmetros!$N$15:$O$17,2,FALSE))</f>
        <v/>
      </c>
      <c r="P47" s="18" t="str">
        <f>IF(O47="","",O47*VLOOKUP(N47,Parâmetros!$N$15:$P$17,3,FALSE))</f>
        <v/>
      </c>
      <c r="Q47" s="18" t="str">
        <f>IF(O47="","",O47*VLOOKUP(N47,Parâmetros!$N$15:$Q$17,4,FALSE))</f>
        <v/>
      </c>
      <c r="R47" s="15"/>
    </row>
    <row r="48" spans="1:18">
      <c r="A48" s="15"/>
      <c r="B48" s="15"/>
      <c r="C48" s="15"/>
      <c r="D48" s="15"/>
      <c r="E48" s="15"/>
      <c r="F48" s="16" t="str">
        <f>IFERROR(VLOOKUP(E48,Parâmetros!$A$15:$B$18,2,FALSE),"")</f>
        <v/>
      </c>
      <c r="G48" s="16"/>
      <c r="H48" s="16" t="str">
        <f>IFERROR(VLOOKUP(G48,Parâmetros!$D$15:$E$18,2,FALSE),"")</f>
        <v/>
      </c>
      <c r="I48" s="16"/>
      <c r="J48" s="16" t="str">
        <f>IFERROR(VLOOKUP(I48,Parâmetros!$G$15:$H$18,2,FALSE),"")</f>
        <v/>
      </c>
      <c r="K48" s="16"/>
      <c r="L48" s="16" t="str">
        <f>IFERROR(VLOOKUP(K48,Parâmetros!$J$15:$K$18,2,FALSE),"")</f>
        <v/>
      </c>
      <c r="M48" s="17" t="str">
        <f>IF(COUNTA(E48,G48,I48,K48)&lt;4,"",F48*Parâmetros!$B$7+H48*Parâmetros!$B$8+J48*Parâmetros!$B$9+L48*Parâmetros!$B$10)</f>
        <v/>
      </c>
      <c r="N48" s="16" t="str">
        <f>IF(M48="","",IFERROR(VLOOKUP(M48,Parâmetros!$M$15:$O$17,2,TRUE),""))</f>
        <v/>
      </c>
      <c r="O48" s="18" t="str">
        <f>IF(N48="","",VLOOKUP(N48,Parâmetros!$N$15:$O$17,2,FALSE))</f>
        <v/>
      </c>
      <c r="P48" s="18" t="str">
        <f>IF(O48="","",O48*VLOOKUP(N48,Parâmetros!$N$15:$P$17,3,FALSE))</f>
        <v/>
      </c>
      <c r="Q48" s="18" t="str">
        <f>IF(O48="","",O48*VLOOKUP(N48,Parâmetros!$N$15:$Q$17,4,FALSE))</f>
        <v/>
      </c>
      <c r="R48" s="15"/>
    </row>
    <row r="49" spans="1:18">
      <c r="A49" s="15"/>
      <c r="B49" s="15"/>
      <c r="C49" s="15"/>
      <c r="D49" s="15"/>
      <c r="E49" s="15"/>
      <c r="F49" s="16" t="str">
        <f>IFERROR(VLOOKUP(E49,Parâmetros!$A$15:$B$18,2,FALSE),"")</f>
        <v/>
      </c>
      <c r="G49" s="16"/>
      <c r="H49" s="16" t="str">
        <f>IFERROR(VLOOKUP(G49,Parâmetros!$D$15:$E$18,2,FALSE),"")</f>
        <v/>
      </c>
      <c r="I49" s="16"/>
      <c r="J49" s="16" t="str">
        <f>IFERROR(VLOOKUP(I49,Parâmetros!$G$15:$H$18,2,FALSE),"")</f>
        <v/>
      </c>
      <c r="K49" s="16"/>
      <c r="L49" s="16" t="str">
        <f>IFERROR(VLOOKUP(K49,Parâmetros!$J$15:$K$18,2,FALSE),"")</f>
        <v/>
      </c>
      <c r="M49" s="17" t="str">
        <f>IF(COUNTA(E49,G49,I49,K49)&lt;4,"",F49*Parâmetros!$B$7+H49*Parâmetros!$B$8+J49*Parâmetros!$B$9+L49*Parâmetros!$B$10)</f>
        <v/>
      </c>
      <c r="N49" s="16" t="str">
        <f>IF(M49="","",IFERROR(VLOOKUP(M49,Parâmetros!$M$15:$O$17,2,TRUE),""))</f>
        <v/>
      </c>
      <c r="O49" s="18" t="str">
        <f>IF(N49="","",VLOOKUP(N49,Parâmetros!$N$15:$O$17,2,FALSE))</f>
        <v/>
      </c>
      <c r="P49" s="18" t="str">
        <f>IF(O49="","",O49*VLOOKUP(N49,Parâmetros!$N$15:$P$17,3,FALSE))</f>
        <v/>
      </c>
      <c r="Q49" s="18" t="str">
        <f>IF(O49="","",O49*VLOOKUP(N49,Parâmetros!$N$15:$Q$17,4,FALSE))</f>
        <v/>
      </c>
      <c r="R49" s="15"/>
    </row>
    <row r="50" spans="1:18">
      <c r="A50" s="15"/>
      <c r="B50" s="15"/>
      <c r="C50" s="15"/>
      <c r="D50" s="15"/>
      <c r="E50" s="15"/>
      <c r="F50" s="16" t="str">
        <f>IFERROR(VLOOKUP(E50,Parâmetros!$A$15:$B$18,2,FALSE),"")</f>
        <v/>
      </c>
      <c r="G50" s="16"/>
      <c r="H50" s="16" t="str">
        <f>IFERROR(VLOOKUP(G50,Parâmetros!$D$15:$E$18,2,FALSE),"")</f>
        <v/>
      </c>
      <c r="I50" s="16"/>
      <c r="J50" s="16" t="str">
        <f>IFERROR(VLOOKUP(I50,Parâmetros!$G$15:$H$18,2,FALSE),"")</f>
        <v/>
      </c>
      <c r="K50" s="16"/>
      <c r="L50" s="16" t="str">
        <f>IFERROR(VLOOKUP(K50,Parâmetros!$J$15:$K$18,2,FALSE),"")</f>
        <v/>
      </c>
      <c r="M50" s="17" t="str">
        <f>IF(COUNTA(E50,G50,I50,K50)&lt;4,"",F50*Parâmetros!$B$7+H50*Parâmetros!$B$8+J50*Parâmetros!$B$9+L50*Parâmetros!$B$10)</f>
        <v/>
      </c>
      <c r="N50" s="16" t="str">
        <f>IF(M50="","",IFERROR(VLOOKUP(M50,Parâmetros!$M$15:$O$17,2,TRUE),""))</f>
        <v/>
      </c>
      <c r="O50" s="18" t="str">
        <f>IF(N50="","",VLOOKUP(N50,Parâmetros!$N$15:$O$17,2,FALSE))</f>
        <v/>
      </c>
      <c r="P50" s="18" t="str">
        <f>IF(O50="","",O50*VLOOKUP(N50,Parâmetros!$N$15:$P$17,3,FALSE))</f>
        <v/>
      </c>
      <c r="Q50" s="18" t="str">
        <f>IF(O50="","",O50*VLOOKUP(N50,Parâmetros!$N$15:$Q$17,4,FALSE))</f>
        <v/>
      </c>
      <c r="R50" s="15"/>
    </row>
    <row r="51" spans="1:18">
      <c r="A51" s="15"/>
      <c r="B51" s="15"/>
      <c r="C51" s="15"/>
      <c r="D51" s="15"/>
      <c r="E51" s="15"/>
      <c r="F51" s="16" t="str">
        <f>IFERROR(VLOOKUP(E51,Parâmetros!$A$15:$B$18,2,FALSE),"")</f>
        <v/>
      </c>
      <c r="G51" s="16"/>
      <c r="H51" s="16" t="str">
        <f>IFERROR(VLOOKUP(G51,Parâmetros!$D$15:$E$18,2,FALSE),"")</f>
        <v/>
      </c>
      <c r="I51" s="16"/>
      <c r="J51" s="16" t="str">
        <f>IFERROR(VLOOKUP(I51,Parâmetros!$G$15:$H$18,2,FALSE),"")</f>
        <v/>
      </c>
      <c r="K51" s="16"/>
      <c r="L51" s="16" t="str">
        <f>IFERROR(VLOOKUP(K51,Parâmetros!$J$15:$K$18,2,FALSE),"")</f>
        <v/>
      </c>
      <c r="M51" s="17" t="str">
        <f>IF(COUNTA(E51,G51,I51,K51)&lt;4,"",F51*Parâmetros!$B$7+H51*Parâmetros!$B$8+J51*Parâmetros!$B$9+L51*Parâmetros!$B$10)</f>
        <v/>
      </c>
      <c r="N51" s="16" t="str">
        <f>IF(M51="","",IFERROR(VLOOKUP(M51,Parâmetros!$M$15:$O$17,2,TRUE),""))</f>
        <v/>
      </c>
      <c r="O51" s="18" t="str">
        <f>IF(N51="","",VLOOKUP(N51,Parâmetros!$N$15:$O$17,2,FALSE))</f>
        <v/>
      </c>
      <c r="P51" s="18" t="str">
        <f>IF(O51="","",O51*VLOOKUP(N51,Parâmetros!$N$15:$P$17,3,FALSE))</f>
        <v/>
      </c>
      <c r="Q51" s="18" t="str">
        <f>IF(O51="","",O51*VLOOKUP(N51,Parâmetros!$N$15:$Q$17,4,FALSE))</f>
        <v/>
      </c>
      <c r="R51" s="15"/>
    </row>
    <row r="52" spans="1:18">
      <c r="A52" s="15"/>
      <c r="B52" s="15"/>
      <c r="C52" s="15"/>
      <c r="D52" s="15"/>
      <c r="E52" s="15"/>
      <c r="F52" s="16" t="str">
        <f>IFERROR(VLOOKUP(E52,Parâmetros!$A$15:$B$18,2,FALSE),"")</f>
        <v/>
      </c>
      <c r="G52" s="16"/>
      <c r="H52" s="16" t="str">
        <f>IFERROR(VLOOKUP(G52,Parâmetros!$D$15:$E$18,2,FALSE),"")</f>
        <v/>
      </c>
      <c r="I52" s="16"/>
      <c r="J52" s="16" t="str">
        <f>IFERROR(VLOOKUP(I52,Parâmetros!$G$15:$H$18,2,FALSE),"")</f>
        <v/>
      </c>
      <c r="K52" s="16"/>
      <c r="L52" s="16" t="str">
        <f>IFERROR(VLOOKUP(K52,Parâmetros!$J$15:$K$18,2,FALSE),"")</f>
        <v/>
      </c>
      <c r="M52" s="17" t="str">
        <f>IF(COUNTA(E52,G52,I52,K52)&lt;4,"",F52*Parâmetros!$B$7+H52*Parâmetros!$B$8+J52*Parâmetros!$B$9+L52*Parâmetros!$B$10)</f>
        <v/>
      </c>
      <c r="N52" s="16" t="str">
        <f>IF(M52="","",IFERROR(VLOOKUP(M52,Parâmetros!$M$15:$O$17,2,TRUE),""))</f>
        <v/>
      </c>
      <c r="O52" s="18" t="str">
        <f>IF(N52="","",VLOOKUP(N52,Parâmetros!$N$15:$O$17,2,FALSE))</f>
        <v/>
      </c>
      <c r="P52" s="18" t="str">
        <f>IF(O52="","",O52*VLOOKUP(N52,Parâmetros!$N$15:$P$17,3,FALSE))</f>
        <v/>
      </c>
      <c r="Q52" s="18" t="str">
        <f>IF(O52="","",O52*VLOOKUP(N52,Parâmetros!$N$15:$Q$17,4,FALSE))</f>
        <v/>
      </c>
      <c r="R52" s="15"/>
    </row>
    <row r="53" spans="1:18">
      <c r="A53" s="15"/>
      <c r="B53" s="15"/>
      <c r="C53" s="15"/>
      <c r="D53" s="15"/>
      <c r="E53" s="15"/>
      <c r="F53" s="16" t="str">
        <f>IFERROR(VLOOKUP(E53,Parâmetros!$A$15:$B$18,2,FALSE),"")</f>
        <v/>
      </c>
      <c r="G53" s="16"/>
      <c r="H53" s="16" t="str">
        <f>IFERROR(VLOOKUP(G53,Parâmetros!$D$15:$E$18,2,FALSE),"")</f>
        <v/>
      </c>
      <c r="I53" s="16"/>
      <c r="J53" s="16" t="str">
        <f>IFERROR(VLOOKUP(I53,Parâmetros!$G$15:$H$18,2,FALSE),"")</f>
        <v/>
      </c>
      <c r="K53" s="16"/>
      <c r="L53" s="16" t="str">
        <f>IFERROR(VLOOKUP(K53,Parâmetros!$J$15:$K$18,2,FALSE),"")</f>
        <v/>
      </c>
      <c r="M53" s="17" t="str">
        <f>IF(COUNTA(E53,G53,I53,K53)&lt;4,"",F53*Parâmetros!$B$7+H53*Parâmetros!$B$8+J53*Parâmetros!$B$9+L53*Parâmetros!$B$10)</f>
        <v/>
      </c>
      <c r="N53" s="16" t="str">
        <f>IF(M53="","",IFERROR(VLOOKUP(M53,Parâmetros!$M$15:$O$17,2,TRUE),""))</f>
        <v/>
      </c>
      <c r="O53" s="18" t="str">
        <f>IF(N53="","",VLOOKUP(N53,Parâmetros!$N$15:$O$17,2,FALSE))</f>
        <v/>
      </c>
      <c r="P53" s="18" t="str">
        <f>IF(O53="","",O53*VLOOKUP(N53,Parâmetros!$N$15:$P$17,3,FALSE))</f>
        <v/>
      </c>
      <c r="Q53" s="18" t="str">
        <f>IF(O53="","",O53*VLOOKUP(N53,Parâmetros!$N$15:$Q$17,4,FALSE))</f>
        <v/>
      </c>
      <c r="R53" s="15"/>
    </row>
    <row r="54" spans="1:18">
      <c r="A54" s="15"/>
      <c r="B54" s="15"/>
      <c r="C54" s="15"/>
      <c r="D54" s="15"/>
      <c r="E54" s="15"/>
      <c r="F54" s="16" t="str">
        <f>IFERROR(VLOOKUP(E54,Parâmetros!$A$15:$B$18,2,FALSE),"")</f>
        <v/>
      </c>
      <c r="G54" s="16"/>
      <c r="H54" s="16" t="str">
        <f>IFERROR(VLOOKUP(G54,Parâmetros!$D$15:$E$18,2,FALSE),"")</f>
        <v/>
      </c>
      <c r="I54" s="16"/>
      <c r="J54" s="16" t="str">
        <f>IFERROR(VLOOKUP(I54,Parâmetros!$G$15:$H$18,2,FALSE),"")</f>
        <v/>
      </c>
      <c r="K54" s="16"/>
      <c r="L54" s="16" t="str">
        <f>IFERROR(VLOOKUP(K54,Parâmetros!$J$15:$K$18,2,FALSE),"")</f>
        <v/>
      </c>
      <c r="M54" s="17" t="str">
        <f>IF(COUNTA(E54,G54,I54,K54)&lt;4,"",F54*Parâmetros!$B$7+H54*Parâmetros!$B$8+J54*Parâmetros!$B$9+L54*Parâmetros!$B$10)</f>
        <v/>
      </c>
      <c r="N54" s="16" t="str">
        <f>IF(M54="","",IFERROR(VLOOKUP(M54,Parâmetros!$M$15:$O$17,2,TRUE),""))</f>
        <v/>
      </c>
      <c r="O54" s="18" t="str">
        <f>IF(N54="","",VLOOKUP(N54,Parâmetros!$N$15:$O$17,2,FALSE))</f>
        <v/>
      </c>
      <c r="P54" s="18" t="str">
        <f>IF(O54="","",O54*VLOOKUP(N54,Parâmetros!$N$15:$P$17,3,FALSE))</f>
        <v/>
      </c>
      <c r="Q54" s="18" t="str">
        <f>IF(O54="","",O54*VLOOKUP(N54,Parâmetros!$N$15:$Q$17,4,FALSE))</f>
        <v/>
      </c>
      <c r="R54" s="15"/>
    </row>
    <row r="55" spans="1:18">
      <c r="A55" s="15"/>
      <c r="B55" s="15"/>
      <c r="C55" s="15"/>
      <c r="D55" s="15"/>
      <c r="E55" s="15"/>
      <c r="F55" s="16" t="str">
        <f>IFERROR(VLOOKUP(E55,Parâmetros!$A$15:$B$18,2,FALSE),"")</f>
        <v/>
      </c>
      <c r="G55" s="16"/>
      <c r="H55" s="16" t="str">
        <f>IFERROR(VLOOKUP(G55,Parâmetros!$D$15:$E$18,2,FALSE),"")</f>
        <v/>
      </c>
      <c r="I55" s="16"/>
      <c r="J55" s="16" t="str">
        <f>IFERROR(VLOOKUP(I55,Parâmetros!$G$15:$H$18,2,FALSE),"")</f>
        <v/>
      </c>
      <c r="K55" s="16"/>
      <c r="L55" s="16" t="str">
        <f>IFERROR(VLOOKUP(K55,Parâmetros!$J$15:$K$18,2,FALSE),"")</f>
        <v/>
      </c>
      <c r="M55" s="17" t="str">
        <f>IF(COUNTA(E55,G55,I55,K55)&lt;4,"",F55*Parâmetros!$B$7+H55*Parâmetros!$B$8+J55*Parâmetros!$B$9+L55*Parâmetros!$B$10)</f>
        <v/>
      </c>
      <c r="N55" s="16" t="str">
        <f>IF(M55="","",IFERROR(VLOOKUP(M55,Parâmetros!$M$15:$O$17,2,TRUE),""))</f>
        <v/>
      </c>
      <c r="O55" s="18" t="str">
        <f>IF(N55="","",VLOOKUP(N55,Parâmetros!$N$15:$O$17,2,FALSE))</f>
        <v/>
      </c>
      <c r="P55" s="18" t="str">
        <f>IF(O55="","",O55*VLOOKUP(N55,Parâmetros!$N$15:$P$17,3,FALSE))</f>
        <v/>
      </c>
      <c r="Q55" s="18" t="str">
        <f>IF(O55="","",O55*VLOOKUP(N55,Parâmetros!$N$15:$Q$17,4,FALSE))</f>
        <v/>
      </c>
      <c r="R55" s="15"/>
    </row>
    <row r="56" spans="1:18">
      <c r="A56" s="15"/>
      <c r="B56" s="15"/>
      <c r="C56" s="15"/>
      <c r="D56" s="15"/>
      <c r="E56" s="15"/>
      <c r="F56" s="16" t="str">
        <f>IFERROR(VLOOKUP(E56,Parâmetros!$A$15:$B$18,2,FALSE),"")</f>
        <v/>
      </c>
      <c r="G56" s="16"/>
      <c r="H56" s="16" t="str">
        <f>IFERROR(VLOOKUP(G56,Parâmetros!$D$15:$E$18,2,FALSE),"")</f>
        <v/>
      </c>
      <c r="I56" s="16"/>
      <c r="J56" s="16" t="str">
        <f>IFERROR(VLOOKUP(I56,Parâmetros!$G$15:$H$18,2,FALSE),"")</f>
        <v/>
      </c>
      <c r="K56" s="16"/>
      <c r="L56" s="16" t="str">
        <f>IFERROR(VLOOKUP(K56,Parâmetros!$J$15:$K$18,2,FALSE),"")</f>
        <v/>
      </c>
      <c r="M56" s="17" t="str">
        <f>IF(COUNTA(E56,G56,I56,K56)&lt;4,"",F56*Parâmetros!$B$7+H56*Parâmetros!$B$8+J56*Parâmetros!$B$9+L56*Parâmetros!$B$10)</f>
        <v/>
      </c>
      <c r="N56" s="16" t="str">
        <f>IF(M56="","",IFERROR(VLOOKUP(M56,Parâmetros!$M$15:$O$17,2,TRUE),""))</f>
        <v/>
      </c>
      <c r="O56" s="18" t="str">
        <f>IF(N56="","",VLOOKUP(N56,Parâmetros!$N$15:$O$17,2,FALSE))</f>
        <v/>
      </c>
      <c r="P56" s="18" t="str">
        <f>IF(O56="","",O56*VLOOKUP(N56,Parâmetros!$N$15:$P$17,3,FALSE))</f>
        <v/>
      </c>
      <c r="Q56" s="18" t="str">
        <f>IF(O56="","",O56*VLOOKUP(N56,Parâmetros!$N$15:$Q$17,4,FALSE))</f>
        <v/>
      </c>
      <c r="R56" s="15"/>
    </row>
    <row r="57" spans="1:18">
      <c r="A57" s="15"/>
      <c r="B57" s="15"/>
      <c r="C57" s="15"/>
      <c r="D57" s="15"/>
      <c r="E57" s="15"/>
      <c r="F57" s="16" t="str">
        <f>IFERROR(VLOOKUP(E57,Parâmetros!$A$15:$B$18,2,FALSE),"")</f>
        <v/>
      </c>
      <c r="G57" s="16"/>
      <c r="H57" s="16" t="str">
        <f>IFERROR(VLOOKUP(G57,Parâmetros!$D$15:$E$18,2,FALSE),"")</f>
        <v/>
      </c>
      <c r="I57" s="16"/>
      <c r="J57" s="16" t="str">
        <f>IFERROR(VLOOKUP(I57,Parâmetros!$G$15:$H$18,2,FALSE),"")</f>
        <v/>
      </c>
      <c r="K57" s="16"/>
      <c r="L57" s="16" t="str">
        <f>IFERROR(VLOOKUP(K57,Parâmetros!$J$15:$K$18,2,FALSE),"")</f>
        <v/>
      </c>
      <c r="M57" s="17" t="str">
        <f>IF(COUNTA(E57,G57,I57,K57)&lt;4,"",F57*Parâmetros!$B$7+H57*Parâmetros!$B$8+J57*Parâmetros!$B$9+L57*Parâmetros!$B$10)</f>
        <v/>
      </c>
      <c r="N57" s="16" t="str">
        <f>IF(M57="","",IFERROR(VLOOKUP(M57,Parâmetros!$M$15:$O$17,2,TRUE),""))</f>
        <v/>
      </c>
      <c r="O57" s="18" t="str">
        <f>IF(N57="","",VLOOKUP(N57,Parâmetros!$N$15:$O$17,2,FALSE))</f>
        <v/>
      </c>
      <c r="P57" s="18" t="str">
        <f>IF(O57="","",O57*VLOOKUP(N57,Parâmetros!$N$15:$P$17,3,FALSE))</f>
        <v/>
      </c>
      <c r="Q57" s="18" t="str">
        <f>IF(O57="","",O57*VLOOKUP(N57,Parâmetros!$N$15:$Q$17,4,FALSE))</f>
        <v/>
      </c>
      <c r="R57" s="15"/>
    </row>
    <row r="58" spans="1:18">
      <c r="A58" s="15"/>
      <c r="B58" s="15"/>
      <c r="C58" s="15"/>
      <c r="D58" s="15"/>
      <c r="E58" s="15"/>
      <c r="F58" s="16" t="str">
        <f>IFERROR(VLOOKUP(E58,Parâmetros!$A$15:$B$18,2,FALSE),"")</f>
        <v/>
      </c>
      <c r="G58" s="16"/>
      <c r="H58" s="16" t="str">
        <f>IFERROR(VLOOKUP(G58,Parâmetros!$D$15:$E$18,2,FALSE),"")</f>
        <v/>
      </c>
      <c r="I58" s="16"/>
      <c r="J58" s="16" t="str">
        <f>IFERROR(VLOOKUP(I58,Parâmetros!$G$15:$H$18,2,FALSE),"")</f>
        <v/>
      </c>
      <c r="K58" s="16"/>
      <c r="L58" s="16" t="str">
        <f>IFERROR(VLOOKUP(K58,Parâmetros!$J$15:$K$18,2,FALSE),"")</f>
        <v/>
      </c>
      <c r="M58" s="17" t="str">
        <f>IF(COUNTA(E58,G58,I58,K58)&lt;4,"",F58*Parâmetros!$B$7+H58*Parâmetros!$B$8+J58*Parâmetros!$B$9+L58*Parâmetros!$B$10)</f>
        <v/>
      </c>
      <c r="N58" s="16" t="str">
        <f>IF(M58="","",IFERROR(VLOOKUP(M58,Parâmetros!$M$15:$O$17,2,TRUE),""))</f>
        <v/>
      </c>
      <c r="O58" s="18" t="str">
        <f>IF(N58="","",VLOOKUP(N58,Parâmetros!$N$15:$O$17,2,FALSE))</f>
        <v/>
      </c>
      <c r="P58" s="18" t="str">
        <f>IF(O58="","",O58*VLOOKUP(N58,Parâmetros!$N$15:$P$17,3,FALSE))</f>
        <v/>
      </c>
      <c r="Q58" s="18" t="str">
        <f>IF(O58="","",O58*VLOOKUP(N58,Parâmetros!$N$15:$Q$17,4,FALSE))</f>
        <v/>
      </c>
      <c r="R58" s="15"/>
    </row>
    <row r="59" spans="1:18">
      <c r="A59" s="15"/>
      <c r="B59" s="15"/>
      <c r="C59" s="15"/>
      <c r="D59" s="15"/>
      <c r="E59" s="15"/>
      <c r="F59" s="16" t="str">
        <f>IFERROR(VLOOKUP(E59,Parâmetros!$A$15:$B$18,2,FALSE),"")</f>
        <v/>
      </c>
      <c r="G59" s="16"/>
      <c r="H59" s="16" t="str">
        <f>IFERROR(VLOOKUP(G59,Parâmetros!$D$15:$E$18,2,FALSE),"")</f>
        <v/>
      </c>
      <c r="I59" s="16"/>
      <c r="J59" s="16" t="str">
        <f>IFERROR(VLOOKUP(I59,Parâmetros!$G$15:$H$18,2,FALSE),"")</f>
        <v/>
      </c>
      <c r="K59" s="16"/>
      <c r="L59" s="16" t="str">
        <f>IFERROR(VLOOKUP(K59,Parâmetros!$J$15:$K$18,2,FALSE),"")</f>
        <v/>
      </c>
      <c r="M59" s="17" t="str">
        <f>IF(COUNTA(E59,G59,I59,K59)&lt;4,"",F59*Parâmetros!$B$7+H59*Parâmetros!$B$8+J59*Parâmetros!$B$9+L59*Parâmetros!$B$10)</f>
        <v/>
      </c>
      <c r="N59" s="16" t="str">
        <f>IF(M59="","",IFERROR(VLOOKUP(M59,Parâmetros!$M$15:$O$17,2,TRUE),""))</f>
        <v/>
      </c>
      <c r="O59" s="18" t="str">
        <f>IF(N59="","",VLOOKUP(N59,Parâmetros!$N$15:$O$17,2,FALSE))</f>
        <v/>
      </c>
      <c r="P59" s="18" t="str">
        <f>IF(O59="","",O59*VLOOKUP(N59,Parâmetros!$N$15:$P$17,3,FALSE))</f>
        <v/>
      </c>
      <c r="Q59" s="18" t="str">
        <f>IF(O59="","",O59*VLOOKUP(N59,Parâmetros!$N$15:$Q$17,4,FALSE))</f>
        <v/>
      </c>
      <c r="R59" s="15"/>
    </row>
    <row r="60" spans="1:18">
      <c r="A60" s="15"/>
      <c r="B60" s="15"/>
      <c r="C60" s="15"/>
      <c r="D60" s="15"/>
      <c r="E60" s="15"/>
      <c r="F60" s="16" t="str">
        <f>IFERROR(VLOOKUP(E60,Parâmetros!$A$15:$B$18,2,FALSE),"")</f>
        <v/>
      </c>
      <c r="G60" s="16"/>
      <c r="H60" s="16" t="str">
        <f>IFERROR(VLOOKUP(G60,Parâmetros!$D$15:$E$18,2,FALSE),"")</f>
        <v/>
      </c>
      <c r="I60" s="16"/>
      <c r="J60" s="16" t="str">
        <f>IFERROR(VLOOKUP(I60,Parâmetros!$G$15:$H$18,2,FALSE),"")</f>
        <v/>
      </c>
      <c r="K60" s="16"/>
      <c r="L60" s="16" t="str">
        <f>IFERROR(VLOOKUP(K60,Parâmetros!$J$15:$K$18,2,FALSE),"")</f>
        <v/>
      </c>
      <c r="M60" s="17" t="str">
        <f>IF(COUNTA(E60,G60,I60,K60)&lt;4,"",F60*Parâmetros!$B$7+H60*Parâmetros!$B$8+J60*Parâmetros!$B$9+L60*Parâmetros!$B$10)</f>
        <v/>
      </c>
      <c r="N60" s="16" t="str">
        <f>IF(M60="","",IFERROR(VLOOKUP(M60,Parâmetros!$M$15:$O$17,2,TRUE),""))</f>
        <v/>
      </c>
      <c r="O60" s="18" t="str">
        <f>IF(N60="","",VLOOKUP(N60,Parâmetros!$N$15:$O$17,2,FALSE))</f>
        <v/>
      </c>
      <c r="P60" s="18" t="str">
        <f>IF(O60="","",O60*VLOOKUP(N60,Parâmetros!$N$15:$P$17,3,FALSE))</f>
        <v/>
      </c>
      <c r="Q60" s="18" t="str">
        <f>IF(O60="","",O60*VLOOKUP(N60,Parâmetros!$N$15:$Q$17,4,FALSE))</f>
        <v/>
      </c>
      <c r="R60" s="15"/>
    </row>
    <row r="61" spans="1:18">
      <c r="A61" s="15"/>
      <c r="B61" s="15"/>
      <c r="C61" s="15"/>
      <c r="D61" s="15"/>
      <c r="E61" s="15"/>
      <c r="F61" s="16" t="str">
        <f>IFERROR(VLOOKUP(E61,Parâmetros!$A$15:$B$18,2,FALSE),"")</f>
        <v/>
      </c>
      <c r="G61" s="16"/>
      <c r="H61" s="16" t="str">
        <f>IFERROR(VLOOKUP(G61,Parâmetros!$D$15:$E$18,2,FALSE),"")</f>
        <v/>
      </c>
      <c r="I61" s="16"/>
      <c r="J61" s="16" t="str">
        <f>IFERROR(VLOOKUP(I61,Parâmetros!$G$15:$H$18,2,FALSE),"")</f>
        <v/>
      </c>
      <c r="K61" s="16"/>
      <c r="L61" s="16" t="str">
        <f>IFERROR(VLOOKUP(K61,Parâmetros!$J$15:$K$18,2,FALSE),"")</f>
        <v/>
      </c>
      <c r="M61" s="17" t="str">
        <f>IF(COUNTA(E61,G61,I61,K61)&lt;4,"",F61*Parâmetros!$B$7+H61*Parâmetros!$B$8+J61*Parâmetros!$B$9+L61*Parâmetros!$B$10)</f>
        <v/>
      </c>
      <c r="N61" s="16" t="str">
        <f>IF(M61="","",IFERROR(VLOOKUP(M61,Parâmetros!$M$15:$O$17,2,TRUE),""))</f>
        <v/>
      </c>
      <c r="O61" s="18" t="str">
        <f>IF(N61="","",VLOOKUP(N61,Parâmetros!$N$15:$O$17,2,FALSE))</f>
        <v/>
      </c>
      <c r="P61" s="18" t="str">
        <f>IF(O61="","",O61*VLOOKUP(N61,Parâmetros!$N$15:$P$17,3,FALSE))</f>
        <v/>
      </c>
      <c r="Q61" s="18" t="str">
        <f>IF(O61="","",O61*VLOOKUP(N61,Parâmetros!$N$15:$Q$17,4,FALSE))</f>
        <v/>
      </c>
      <c r="R61" s="15"/>
    </row>
    <row r="62" spans="1:18">
      <c r="A62" s="15"/>
      <c r="B62" s="15"/>
      <c r="C62" s="15"/>
      <c r="D62" s="15"/>
      <c r="E62" s="15"/>
      <c r="F62" s="16" t="str">
        <f>IFERROR(VLOOKUP(E62,Parâmetros!$A$15:$B$18,2,FALSE),"")</f>
        <v/>
      </c>
      <c r="G62" s="16"/>
      <c r="H62" s="16" t="str">
        <f>IFERROR(VLOOKUP(G62,Parâmetros!$D$15:$E$18,2,FALSE),"")</f>
        <v/>
      </c>
      <c r="I62" s="16"/>
      <c r="J62" s="16" t="str">
        <f>IFERROR(VLOOKUP(I62,Parâmetros!$G$15:$H$18,2,FALSE),"")</f>
        <v/>
      </c>
      <c r="K62" s="16"/>
      <c r="L62" s="16" t="str">
        <f>IFERROR(VLOOKUP(K62,Parâmetros!$J$15:$K$18,2,FALSE),"")</f>
        <v/>
      </c>
      <c r="M62" s="17" t="str">
        <f>IF(COUNTA(E62,G62,I62,K62)&lt;4,"",F62*Parâmetros!$B$7+H62*Parâmetros!$B$8+J62*Parâmetros!$B$9+L62*Parâmetros!$B$10)</f>
        <v/>
      </c>
      <c r="N62" s="16" t="str">
        <f>IF(M62="","",IFERROR(VLOOKUP(M62,Parâmetros!$M$15:$O$17,2,TRUE),""))</f>
        <v/>
      </c>
      <c r="O62" s="18" t="str">
        <f>IF(N62="","",VLOOKUP(N62,Parâmetros!$N$15:$O$17,2,FALSE))</f>
        <v/>
      </c>
      <c r="P62" s="18" t="str">
        <f>IF(O62="","",O62*VLOOKUP(N62,Parâmetros!$N$15:$P$17,3,FALSE))</f>
        <v/>
      </c>
      <c r="Q62" s="18" t="str">
        <f>IF(O62="","",O62*VLOOKUP(N62,Parâmetros!$N$15:$Q$17,4,FALSE))</f>
        <v/>
      </c>
      <c r="R62" s="15"/>
    </row>
    <row r="63" spans="1:18">
      <c r="A63" s="15"/>
      <c r="B63" s="15"/>
      <c r="C63" s="15"/>
      <c r="D63" s="15"/>
      <c r="E63" s="15"/>
      <c r="F63" s="16" t="str">
        <f>IFERROR(VLOOKUP(E63,Parâmetros!$A$15:$B$18,2,FALSE),"")</f>
        <v/>
      </c>
      <c r="G63" s="16"/>
      <c r="H63" s="16" t="str">
        <f>IFERROR(VLOOKUP(G63,Parâmetros!$D$15:$E$18,2,FALSE),"")</f>
        <v/>
      </c>
      <c r="I63" s="16"/>
      <c r="J63" s="16" t="str">
        <f>IFERROR(VLOOKUP(I63,Parâmetros!$G$15:$H$18,2,FALSE),"")</f>
        <v/>
      </c>
      <c r="K63" s="16"/>
      <c r="L63" s="16" t="str">
        <f>IFERROR(VLOOKUP(K63,Parâmetros!$J$15:$K$18,2,FALSE),"")</f>
        <v/>
      </c>
      <c r="M63" s="17" t="str">
        <f>IF(COUNTA(E63,G63,I63,K63)&lt;4,"",F63*Parâmetros!$B$7+H63*Parâmetros!$B$8+J63*Parâmetros!$B$9+L63*Parâmetros!$B$10)</f>
        <v/>
      </c>
      <c r="N63" s="16" t="str">
        <f>IF(M63="","",IFERROR(VLOOKUP(M63,Parâmetros!$M$15:$O$17,2,TRUE),""))</f>
        <v/>
      </c>
      <c r="O63" s="18" t="str">
        <f>IF(N63="","",VLOOKUP(N63,Parâmetros!$N$15:$O$17,2,FALSE))</f>
        <v/>
      </c>
      <c r="P63" s="18" t="str">
        <f>IF(O63="","",O63*VLOOKUP(N63,Parâmetros!$N$15:$P$17,3,FALSE))</f>
        <v/>
      </c>
      <c r="Q63" s="18" t="str">
        <f>IF(O63="","",O63*VLOOKUP(N63,Parâmetros!$N$15:$Q$17,4,FALSE))</f>
        <v/>
      </c>
      <c r="R63" s="15"/>
    </row>
    <row r="64" spans="1:18">
      <c r="A64" s="15"/>
      <c r="B64" s="15"/>
      <c r="C64" s="15"/>
      <c r="D64" s="15"/>
      <c r="E64" s="15"/>
      <c r="F64" s="16" t="str">
        <f>IFERROR(VLOOKUP(E64,Parâmetros!$A$15:$B$18,2,FALSE),"")</f>
        <v/>
      </c>
      <c r="G64" s="16"/>
      <c r="H64" s="16" t="str">
        <f>IFERROR(VLOOKUP(G64,Parâmetros!$D$15:$E$18,2,FALSE),"")</f>
        <v/>
      </c>
      <c r="I64" s="16"/>
      <c r="J64" s="16" t="str">
        <f>IFERROR(VLOOKUP(I64,Parâmetros!$G$15:$H$18,2,FALSE),"")</f>
        <v/>
      </c>
      <c r="K64" s="16"/>
      <c r="L64" s="16" t="str">
        <f>IFERROR(VLOOKUP(K64,Parâmetros!$J$15:$K$18,2,FALSE),"")</f>
        <v/>
      </c>
      <c r="M64" s="17" t="str">
        <f>IF(COUNTA(E64,G64,I64,K64)&lt;4,"",F64*Parâmetros!$B$7+H64*Parâmetros!$B$8+J64*Parâmetros!$B$9+L64*Parâmetros!$B$10)</f>
        <v/>
      </c>
      <c r="N64" s="16" t="str">
        <f>IF(M64="","",IFERROR(VLOOKUP(M64,Parâmetros!$M$15:$O$17,2,TRUE),""))</f>
        <v/>
      </c>
      <c r="O64" s="18" t="str">
        <f>IF(N64="","",VLOOKUP(N64,Parâmetros!$N$15:$O$17,2,FALSE))</f>
        <v/>
      </c>
      <c r="P64" s="18" t="str">
        <f>IF(O64="","",O64*VLOOKUP(N64,Parâmetros!$N$15:$P$17,3,FALSE))</f>
        <v/>
      </c>
      <c r="Q64" s="18" t="str">
        <f>IF(O64="","",O64*VLOOKUP(N64,Parâmetros!$N$15:$Q$17,4,FALSE))</f>
        <v/>
      </c>
      <c r="R64" s="15"/>
    </row>
    <row r="65" spans="1:18">
      <c r="A65" s="15"/>
      <c r="B65" s="15"/>
      <c r="C65" s="15"/>
      <c r="D65" s="15"/>
      <c r="E65" s="15"/>
      <c r="F65" s="16" t="str">
        <f>IFERROR(VLOOKUP(E65,Parâmetros!$A$15:$B$18,2,FALSE),"")</f>
        <v/>
      </c>
      <c r="G65" s="16"/>
      <c r="H65" s="16" t="str">
        <f>IFERROR(VLOOKUP(G65,Parâmetros!$D$15:$E$18,2,FALSE),"")</f>
        <v/>
      </c>
      <c r="I65" s="16"/>
      <c r="J65" s="16" t="str">
        <f>IFERROR(VLOOKUP(I65,Parâmetros!$G$15:$H$18,2,FALSE),"")</f>
        <v/>
      </c>
      <c r="K65" s="16"/>
      <c r="L65" s="16" t="str">
        <f>IFERROR(VLOOKUP(K65,Parâmetros!$J$15:$K$18,2,FALSE),"")</f>
        <v/>
      </c>
      <c r="M65" s="17" t="str">
        <f>IF(COUNTA(E65,G65,I65,K65)&lt;4,"",F65*Parâmetros!$B$7+H65*Parâmetros!$B$8+J65*Parâmetros!$B$9+L65*Parâmetros!$B$10)</f>
        <v/>
      </c>
      <c r="N65" s="16" t="str">
        <f>IF(M65="","",IFERROR(VLOOKUP(M65,Parâmetros!$M$15:$O$17,2,TRUE),""))</f>
        <v/>
      </c>
      <c r="O65" s="18" t="str">
        <f>IF(N65="","",VLOOKUP(N65,Parâmetros!$N$15:$O$17,2,FALSE))</f>
        <v/>
      </c>
      <c r="P65" s="18" t="str">
        <f>IF(O65="","",O65*VLOOKUP(N65,Parâmetros!$N$15:$P$17,3,FALSE))</f>
        <v/>
      </c>
      <c r="Q65" s="18" t="str">
        <f>IF(O65="","",O65*VLOOKUP(N65,Parâmetros!$N$15:$Q$17,4,FALSE))</f>
        <v/>
      </c>
      <c r="R65" s="15"/>
    </row>
    <row r="66" spans="1:18">
      <c r="A66" s="15"/>
      <c r="B66" s="15"/>
      <c r="C66" s="15"/>
      <c r="D66" s="15"/>
      <c r="E66" s="15"/>
      <c r="F66" s="16" t="str">
        <f>IFERROR(VLOOKUP(E66,Parâmetros!$A$15:$B$18,2,FALSE),"")</f>
        <v/>
      </c>
      <c r="G66" s="16"/>
      <c r="H66" s="16" t="str">
        <f>IFERROR(VLOOKUP(G66,Parâmetros!$D$15:$E$18,2,FALSE),"")</f>
        <v/>
      </c>
      <c r="I66" s="16"/>
      <c r="J66" s="16" t="str">
        <f>IFERROR(VLOOKUP(I66,Parâmetros!$G$15:$H$18,2,FALSE),"")</f>
        <v/>
      </c>
      <c r="K66" s="16"/>
      <c r="L66" s="16" t="str">
        <f>IFERROR(VLOOKUP(K66,Parâmetros!$J$15:$K$18,2,FALSE),"")</f>
        <v/>
      </c>
      <c r="M66" s="17" t="str">
        <f>IF(COUNTA(E66,G66,I66,K66)&lt;4,"",F66*Parâmetros!$B$7+H66*Parâmetros!$B$8+J66*Parâmetros!$B$9+L66*Parâmetros!$B$10)</f>
        <v/>
      </c>
      <c r="N66" s="16" t="str">
        <f>IF(M66="","",IFERROR(VLOOKUP(M66,Parâmetros!$M$15:$O$17,2,TRUE),""))</f>
        <v/>
      </c>
      <c r="O66" s="18" t="str">
        <f>IF(N66="","",VLOOKUP(N66,Parâmetros!$N$15:$O$17,2,FALSE))</f>
        <v/>
      </c>
      <c r="P66" s="18" t="str">
        <f>IF(O66="","",O66*VLOOKUP(N66,Parâmetros!$N$15:$P$17,3,FALSE))</f>
        <v/>
      </c>
      <c r="Q66" s="18" t="str">
        <f>IF(O66="","",O66*VLOOKUP(N66,Parâmetros!$N$15:$Q$17,4,FALSE))</f>
        <v/>
      </c>
      <c r="R66" s="15"/>
    </row>
    <row r="67" spans="1:18">
      <c r="A67" s="15"/>
      <c r="B67" s="15"/>
      <c r="C67" s="15"/>
      <c r="D67" s="15"/>
      <c r="E67" s="15"/>
      <c r="F67" s="16" t="str">
        <f>IFERROR(VLOOKUP(E67,Parâmetros!$A$15:$B$18,2,FALSE),"")</f>
        <v/>
      </c>
      <c r="G67" s="16"/>
      <c r="H67" s="16" t="str">
        <f>IFERROR(VLOOKUP(G67,Parâmetros!$D$15:$E$18,2,FALSE),"")</f>
        <v/>
      </c>
      <c r="I67" s="16"/>
      <c r="J67" s="16" t="str">
        <f>IFERROR(VLOOKUP(I67,Parâmetros!$G$15:$H$18,2,FALSE),"")</f>
        <v/>
      </c>
      <c r="K67" s="16"/>
      <c r="L67" s="16" t="str">
        <f>IFERROR(VLOOKUP(K67,Parâmetros!$J$15:$K$18,2,FALSE),"")</f>
        <v/>
      </c>
      <c r="M67" s="17" t="str">
        <f>IF(COUNTA(E67,G67,I67,K67)&lt;4,"",F67*Parâmetros!$B$7+H67*Parâmetros!$B$8+J67*Parâmetros!$B$9+L67*Parâmetros!$B$10)</f>
        <v/>
      </c>
      <c r="N67" s="16" t="str">
        <f>IF(M67="","",IFERROR(VLOOKUP(M67,Parâmetros!$M$15:$O$17,2,TRUE),""))</f>
        <v/>
      </c>
      <c r="O67" s="18" t="str">
        <f>IF(N67="","",VLOOKUP(N67,Parâmetros!$N$15:$O$17,2,FALSE))</f>
        <v/>
      </c>
      <c r="P67" s="18" t="str">
        <f>IF(O67="","",O67*VLOOKUP(N67,Parâmetros!$N$15:$P$17,3,FALSE))</f>
        <v/>
      </c>
      <c r="Q67" s="18" t="str">
        <f>IF(O67="","",O67*VLOOKUP(N67,Parâmetros!$N$15:$Q$17,4,FALSE))</f>
        <v/>
      </c>
      <c r="R67" s="15"/>
    </row>
    <row r="68" spans="1:18">
      <c r="A68" s="15"/>
      <c r="B68" s="15"/>
      <c r="C68" s="15"/>
      <c r="D68" s="15"/>
      <c r="E68" s="15"/>
      <c r="F68" s="16" t="str">
        <f>IFERROR(VLOOKUP(E68,Parâmetros!$A$15:$B$18,2,FALSE),"")</f>
        <v/>
      </c>
      <c r="G68" s="16"/>
      <c r="H68" s="16" t="str">
        <f>IFERROR(VLOOKUP(G68,Parâmetros!$D$15:$E$18,2,FALSE),"")</f>
        <v/>
      </c>
      <c r="I68" s="16"/>
      <c r="J68" s="16" t="str">
        <f>IFERROR(VLOOKUP(I68,Parâmetros!$G$15:$H$18,2,FALSE),"")</f>
        <v/>
      </c>
      <c r="K68" s="16"/>
      <c r="L68" s="16" t="str">
        <f>IFERROR(VLOOKUP(K68,Parâmetros!$J$15:$K$18,2,FALSE),"")</f>
        <v/>
      </c>
      <c r="M68" s="17" t="str">
        <f>IF(COUNTA(E68,G68,I68,K68)&lt;4,"",F68*Parâmetros!$B$7+H68*Parâmetros!$B$8+J68*Parâmetros!$B$9+L68*Parâmetros!$B$10)</f>
        <v/>
      </c>
      <c r="N68" s="16" t="str">
        <f>IF(M68="","",IFERROR(VLOOKUP(M68,Parâmetros!$M$15:$O$17,2,TRUE),""))</f>
        <v/>
      </c>
      <c r="O68" s="18" t="str">
        <f>IF(N68="","",VLOOKUP(N68,Parâmetros!$N$15:$O$17,2,FALSE))</f>
        <v/>
      </c>
      <c r="P68" s="18" t="str">
        <f>IF(O68="","",O68*VLOOKUP(N68,Parâmetros!$N$15:$P$17,3,FALSE))</f>
        <v/>
      </c>
      <c r="Q68" s="18" t="str">
        <f>IF(O68="","",O68*VLOOKUP(N68,Parâmetros!$N$15:$Q$17,4,FALSE))</f>
        <v/>
      </c>
      <c r="R68" s="15"/>
    </row>
    <row r="69" spans="1:18">
      <c r="A69" s="15"/>
      <c r="B69" s="15"/>
      <c r="C69" s="15"/>
      <c r="D69" s="15"/>
      <c r="E69" s="15"/>
      <c r="F69" s="16" t="str">
        <f>IFERROR(VLOOKUP(E69,Parâmetros!$A$15:$B$18,2,FALSE),"")</f>
        <v/>
      </c>
      <c r="G69" s="16"/>
      <c r="H69" s="16" t="str">
        <f>IFERROR(VLOOKUP(G69,Parâmetros!$D$15:$E$18,2,FALSE),"")</f>
        <v/>
      </c>
      <c r="I69" s="16"/>
      <c r="J69" s="16" t="str">
        <f>IFERROR(VLOOKUP(I69,Parâmetros!$G$15:$H$18,2,FALSE),"")</f>
        <v/>
      </c>
      <c r="K69" s="16"/>
      <c r="L69" s="16" t="str">
        <f>IFERROR(VLOOKUP(K69,Parâmetros!$J$15:$K$18,2,FALSE),"")</f>
        <v/>
      </c>
      <c r="M69" s="17" t="str">
        <f>IF(COUNTA(E69,G69,I69,K69)&lt;4,"",F69*Parâmetros!$B$7+H69*Parâmetros!$B$8+J69*Parâmetros!$B$9+L69*Parâmetros!$B$10)</f>
        <v/>
      </c>
      <c r="N69" s="16" t="str">
        <f>IF(M69="","",IFERROR(VLOOKUP(M69,Parâmetros!$M$15:$O$17,2,TRUE),""))</f>
        <v/>
      </c>
      <c r="O69" s="18" t="str">
        <f>IF(N69="","",VLOOKUP(N69,Parâmetros!$N$15:$O$17,2,FALSE))</f>
        <v/>
      </c>
      <c r="P69" s="18" t="str">
        <f>IF(O69="","",O69*VLOOKUP(N69,Parâmetros!$N$15:$P$17,3,FALSE))</f>
        <v/>
      </c>
      <c r="Q69" s="18" t="str">
        <f>IF(O69="","",O69*VLOOKUP(N69,Parâmetros!$N$15:$Q$17,4,FALSE))</f>
        <v/>
      </c>
      <c r="R69" s="15"/>
    </row>
    <row r="70" spans="1:18">
      <c r="A70" s="15"/>
      <c r="B70" s="15"/>
      <c r="C70" s="15"/>
      <c r="D70" s="15"/>
      <c r="E70" s="15"/>
      <c r="F70" s="16" t="str">
        <f>IFERROR(VLOOKUP(E70,Parâmetros!$A$15:$B$18,2,FALSE),"")</f>
        <v/>
      </c>
      <c r="G70" s="16"/>
      <c r="H70" s="16" t="str">
        <f>IFERROR(VLOOKUP(G70,Parâmetros!$D$15:$E$18,2,FALSE),"")</f>
        <v/>
      </c>
      <c r="I70" s="16"/>
      <c r="J70" s="16" t="str">
        <f>IFERROR(VLOOKUP(I70,Parâmetros!$G$15:$H$18,2,FALSE),"")</f>
        <v/>
      </c>
      <c r="K70" s="16"/>
      <c r="L70" s="16" t="str">
        <f>IFERROR(VLOOKUP(K70,Parâmetros!$J$15:$K$18,2,FALSE),"")</f>
        <v/>
      </c>
      <c r="M70" s="17" t="str">
        <f>IF(COUNTA(E70,G70,I70,K70)&lt;4,"",F70*Parâmetros!$B$7+H70*Parâmetros!$B$8+J70*Parâmetros!$B$9+L70*Parâmetros!$B$10)</f>
        <v/>
      </c>
      <c r="N70" s="16" t="str">
        <f>IF(M70="","",IFERROR(VLOOKUP(M70,Parâmetros!$M$15:$O$17,2,TRUE),""))</f>
        <v/>
      </c>
      <c r="O70" s="18" t="str">
        <f>IF(N70="","",VLOOKUP(N70,Parâmetros!$N$15:$O$17,2,FALSE))</f>
        <v/>
      </c>
      <c r="P70" s="18" t="str">
        <f>IF(O70="","",O70*VLOOKUP(N70,Parâmetros!$N$15:$P$17,3,FALSE))</f>
        <v/>
      </c>
      <c r="Q70" s="18" t="str">
        <f>IF(O70="","",O70*VLOOKUP(N70,Parâmetros!$N$15:$Q$17,4,FALSE))</f>
        <v/>
      </c>
      <c r="R70" s="15"/>
    </row>
    <row r="71" spans="1:18">
      <c r="A71" s="15"/>
      <c r="B71" s="15"/>
      <c r="C71" s="15"/>
      <c r="D71" s="15"/>
      <c r="E71" s="15"/>
      <c r="F71" s="16" t="str">
        <f>IFERROR(VLOOKUP(E71,Parâmetros!$A$15:$B$18,2,FALSE),"")</f>
        <v/>
      </c>
      <c r="G71" s="16"/>
      <c r="H71" s="16" t="str">
        <f>IFERROR(VLOOKUP(G71,Parâmetros!$D$15:$E$18,2,FALSE),"")</f>
        <v/>
      </c>
      <c r="I71" s="16"/>
      <c r="J71" s="16" t="str">
        <f>IFERROR(VLOOKUP(I71,Parâmetros!$G$15:$H$18,2,FALSE),"")</f>
        <v/>
      </c>
      <c r="K71" s="16"/>
      <c r="L71" s="16" t="str">
        <f>IFERROR(VLOOKUP(K71,Parâmetros!$J$15:$K$18,2,FALSE),"")</f>
        <v/>
      </c>
      <c r="M71" s="17" t="str">
        <f>IF(COUNTA(E71,G71,I71,K71)&lt;4,"",F71*Parâmetros!$B$7+H71*Parâmetros!$B$8+J71*Parâmetros!$B$9+L71*Parâmetros!$B$10)</f>
        <v/>
      </c>
      <c r="N71" s="16" t="str">
        <f>IF(M71="","",IFERROR(VLOOKUP(M71,Parâmetros!$M$15:$O$17,2,TRUE),""))</f>
        <v/>
      </c>
      <c r="O71" s="18" t="str">
        <f>IF(N71="","",VLOOKUP(N71,Parâmetros!$N$15:$O$17,2,FALSE))</f>
        <v/>
      </c>
      <c r="P71" s="18" t="str">
        <f>IF(O71="","",O71*VLOOKUP(N71,Parâmetros!$N$15:$P$17,3,FALSE))</f>
        <v/>
      </c>
      <c r="Q71" s="18" t="str">
        <f>IF(O71="","",O71*VLOOKUP(N71,Parâmetros!$N$15:$Q$17,4,FALSE))</f>
        <v/>
      </c>
      <c r="R71" s="15"/>
    </row>
    <row r="72" spans="1:18">
      <c r="A72" s="15"/>
      <c r="B72" s="15"/>
      <c r="C72" s="15"/>
      <c r="D72" s="15"/>
      <c r="E72" s="15"/>
      <c r="F72" s="16" t="str">
        <f>IFERROR(VLOOKUP(E72,Parâmetros!$A$15:$B$18,2,FALSE),"")</f>
        <v/>
      </c>
      <c r="G72" s="16"/>
      <c r="H72" s="16" t="str">
        <f>IFERROR(VLOOKUP(G72,Parâmetros!$D$15:$E$18,2,FALSE),"")</f>
        <v/>
      </c>
      <c r="I72" s="16"/>
      <c r="J72" s="16" t="str">
        <f>IFERROR(VLOOKUP(I72,Parâmetros!$G$15:$H$18,2,FALSE),"")</f>
        <v/>
      </c>
      <c r="K72" s="16"/>
      <c r="L72" s="16" t="str">
        <f>IFERROR(VLOOKUP(K72,Parâmetros!$J$15:$K$18,2,FALSE),"")</f>
        <v/>
      </c>
      <c r="M72" s="17" t="str">
        <f>IF(COUNTA(E72,G72,I72,K72)&lt;4,"",F72*Parâmetros!$B$7+H72*Parâmetros!$B$8+J72*Parâmetros!$B$9+L72*Parâmetros!$B$10)</f>
        <v/>
      </c>
      <c r="N72" s="16" t="str">
        <f>IF(M72="","",IFERROR(VLOOKUP(M72,Parâmetros!$M$15:$O$17,2,TRUE),""))</f>
        <v/>
      </c>
      <c r="O72" s="18" t="str">
        <f>IF(N72="","",VLOOKUP(N72,Parâmetros!$N$15:$O$17,2,FALSE))</f>
        <v/>
      </c>
      <c r="P72" s="18" t="str">
        <f>IF(O72="","",O72*VLOOKUP(N72,Parâmetros!$N$15:$P$17,3,FALSE))</f>
        <v/>
      </c>
      <c r="Q72" s="18" t="str">
        <f>IF(O72="","",O72*VLOOKUP(N72,Parâmetros!$N$15:$Q$17,4,FALSE))</f>
        <v/>
      </c>
      <c r="R72" s="15"/>
    </row>
    <row r="73" spans="1:18">
      <c r="A73" s="15"/>
      <c r="B73" s="15"/>
      <c r="C73" s="15"/>
      <c r="D73" s="15"/>
      <c r="E73" s="15"/>
      <c r="F73" s="16" t="str">
        <f>IFERROR(VLOOKUP(E73,Parâmetros!$A$15:$B$18,2,FALSE),"")</f>
        <v/>
      </c>
      <c r="G73" s="16"/>
      <c r="H73" s="16" t="str">
        <f>IFERROR(VLOOKUP(G73,Parâmetros!$D$15:$E$18,2,FALSE),"")</f>
        <v/>
      </c>
      <c r="I73" s="16"/>
      <c r="J73" s="16" t="str">
        <f>IFERROR(VLOOKUP(I73,Parâmetros!$G$15:$H$18,2,FALSE),"")</f>
        <v/>
      </c>
      <c r="K73" s="16"/>
      <c r="L73" s="16" t="str">
        <f>IFERROR(VLOOKUP(K73,Parâmetros!$J$15:$K$18,2,FALSE),"")</f>
        <v/>
      </c>
      <c r="M73" s="17" t="str">
        <f>IF(COUNTA(E73,G73,I73,K73)&lt;4,"",F73*Parâmetros!$B$7+H73*Parâmetros!$B$8+J73*Parâmetros!$B$9+L73*Parâmetros!$B$10)</f>
        <v/>
      </c>
      <c r="N73" s="16" t="str">
        <f>IF(M73="","",IFERROR(VLOOKUP(M73,Parâmetros!$M$15:$O$17,2,TRUE),""))</f>
        <v/>
      </c>
      <c r="O73" s="18" t="str">
        <f>IF(N73="","",VLOOKUP(N73,Parâmetros!$N$15:$O$17,2,FALSE))</f>
        <v/>
      </c>
      <c r="P73" s="18" t="str">
        <f>IF(O73="","",O73*VLOOKUP(N73,Parâmetros!$N$15:$P$17,3,FALSE))</f>
        <v/>
      </c>
      <c r="Q73" s="18" t="str">
        <f>IF(O73="","",O73*VLOOKUP(N73,Parâmetros!$N$15:$Q$17,4,FALSE))</f>
        <v/>
      </c>
      <c r="R73" s="15"/>
    </row>
    <row r="74" spans="1:18">
      <c r="A74" s="15"/>
      <c r="B74" s="15"/>
      <c r="C74" s="15"/>
      <c r="D74" s="15"/>
      <c r="E74" s="15"/>
      <c r="F74" s="16" t="str">
        <f>IFERROR(VLOOKUP(E74,Parâmetros!$A$15:$B$18,2,FALSE),"")</f>
        <v/>
      </c>
      <c r="G74" s="16"/>
      <c r="H74" s="16" t="str">
        <f>IFERROR(VLOOKUP(G74,Parâmetros!$D$15:$E$18,2,FALSE),"")</f>
        <v/>
      </c>
      <c r="I74" s="16"/>
      <c r="J74" s="16" t="str">
        <f>IFERROR(VLOOKUP(I74,Parâmetros!$G$15:$H$18,2,FALSE),"")</f>
        <v/>
      </c>
      <c r="K74" s="16"/>
      <c r="L74" s="16" t="str">
        <f>IFERROR(VLOOKUP(K74,Parâmetros!$J$15:$K$18,2,FALSE),"")</f>
        <v/>
      </c>
      <c r="M74" s="17" t="str">
        <f>IF(COUNTA(E74,G74,I74,K74)&lt;4,"",F74*Parâmetros!$B$7+H74*Parâmetros!$B$8+J74*Parâmetros!$B$9+L74*Parâmetros!$B$10)</f>
        <v/>
      </c>
      <c r="N74" s="16" t="str">
        <f>IF(M74="","",IFERROR(VLOOKUP(M74,Parâmetros!$M$15:$O$17,2,TRUE),""))</f>
        <v/>
      </c>
      <c r="O74" s="18" t="str">
        <f>IF(N74="","",VLOOKUP(N74,Parâmetros!$N$15:$O$17,2,FALSE))</f>
        <v/>
      </c>
      <c r="P74" s="18" t="str">
        <f>IF(O74="","",O74*VLOOKUP(N74,Parâmetros!$N$15:$P$17,3,FALSE))</f>
        <v/>
      </c>
      <c r="Q74" s="18" t="str">
        <f>IF(O74="","",O74*VLOOKUP(N74,Parâmetros!$N$15:$Q$17,4,FALSE))</f>
        <v/>
      </c>
      <c r="R74" s="15"/>
    </row>
    <row r="75" spans="1:18">
      <c r="A75" s="15"/>
      <c r="B75" s="15"/>
      <c r="C75" s="15"/>
      <c r="D75" s="15"/>
      <c r="E75" s="15"/>
      <c r="F75" s="16" t="str">
        <f>IFERROR(VLOOKUP(E75,Parâmetros!$A$15:$B$18,2,FALSE),"")</f>
        <v/>
      </c>
      <c r="G75" s="16"/>
      <c r="H75" s="16" t="str">
        <f>IFERROR(VLOOKUP(G75,Parâmetros!$D$15:$E$18,2,FALSE),"")</f>
        <v/>
      </c>
      <c r="I75" s="16"/>
      <c r="J75" s="16" t="str">
        <f>IFERROR(VLOOKUP(I75,Parâmetros!$G$15:$H$18,2,FALSE),"")</f>
        <v/>
      </c>
      <c r="K75" s="16"/>
      <c r="L75" s="16" t="str">
        <f>IFERROR(VLOOKUP(K75,Parâmetros!$J$15:$K$18,2,FALSE),"")</f>
        <v/>
      </c>
      <c r="M75" s="17" t="str">
        <f>IF(COUNTA(E75,G75,I75,K75)&lt;4,"",F75*Parâmetros!$B$7+H75*Parâmetros!$B$8+J75*Parâmetros!$B$9+L75*Parâmetros!$B$10)</f>
        <v/>
      </c>
      <c r="N75" s="16" t="str">
        <f>IF(M75="","",IFERROR(VLOOKUP(M75,Parâmetros!$M$15:$O$17,2,TRUE),""))</f>
        <v/>
      </c>
      <c r="O75" s="18" t="str">
        <f>IF(N75="","",VLOOKUP(N75,Parâmetros!$N$15:$O$17,2,FALSE))</f>
        <v/>
      </c>
      <c r="P75" s="18" t="str">
        <f>IF(O75="","",O75*VLOOKUP(N75,Parâmetros!$N$15:$P$17,3,FALSE))</f>
        <v/>
      </c>
      <c r="Q75" s="18" t="str">
        <f>IF(O75="","",O75*VLOOKUP(N75,Parâmetros!$N$15:$Q$17,4,FALSE))</f>
        <v/>
      </c>
      <c r="R75" s="15"/>
    </row>
    <row r="76" spans="1:18">
      <c r="A76" s="15"/>
      <c r="B76" s="15"/>
      <c r="C76" s="15"/>
      <c r="D76" s="15"/>
      <c r="E76" s="15"/>
      <c r="F76" s="16" t="str">
        <f>IFERROR(VLOOKUP(E76,Parâmetros!$A$15:$B$18,2,FALSE),"")</f>
        <v/>
      </c>
      <c r="G76" s="16"/>
      <c r="H76" s="16" t="str">
        <f>IFERROR(VLOOKUP(G76,Parâmetros!$D$15:$E$18,2,FALSE),"")</f>
        <v/>
      </c>
      <c r="I76" s="16"/>
      <c r="J76" s="16" t="str">
        <f>IFERROR(VLOOKUP(I76,Parâmetros!$G$15:$H$18,2,FALSE),"")</f>
        <v/>
      </c>
      <c r="K76" s="16"/>
      <c r="L76" s="16" t="str">
        <f>IFERROR(VLOOKUP(K76,Parâmetros!$J$15:$K$18,2,FALSE),"")</f>
        <v/>
      </c>
      <c r="M76" s="17" t="str">
        <f>IF(COUNTA(E76,G76,I76,K76)&lt;4,"",F76*Parâmetros!$B$7+H76*Parâmetros!$B$8+J76*Parâmetros!$B$9+L76*Parâmetros!$B$10)</f>
        <v/>
      </c>
      <c r="N76" s="16" t="str">
        <f>IF(M76="","",IFERROR(VLOOKUP(M76,Parâmetros!$M$15:$O$17,2,TRUE),""))</f>
        <v/>
      </c>
      <c r="O76" s="18" t="str">
        <f>IF(N76="","",VLOOKUP(N76,Parâmetros!$N$15:$O$17,2,FALSE))</f>
        <v/>
      </c>
      <c r="P76" s="18" t="str">
        <f>IF(O76="","",O76*VLOOKUP(N76,Parâmetros!$N$15:$P$17,3,FALSE))</f>
        <v/>
      </c>
      <c r="Q76" s="18" t="str">
        <f>IF(O76="","",O76*VLOOKUP(N76,Parâmetros!$N$15:$Q$17,4,FALSE))</f>
        <v/>
      </c>
      <c r="R76" s="15"/>
    </row>
    <row r="77" spans="1:18">
      <c r="A77" s="15"/>
      <c r="B77" s="15"/>
      <c r="C77" s="15"/>
      <c r="D77" s="15"/>
      <c r="E77" s="15"/>
      <c r="F77" s="16" t="str">
        <f>IFERROR(VLOOKUP(E77,Parâmetros!$A$15:$B$18,2,FALSE),"")</f>
        <v/>
      </c>
      <c r="G77" s="16"/>
      <c r="H77" s="16" t="str">
        <f>IFERROR(VLOOKUP(G77,Parâmetros!$D$15:$E$18,2,FALSE),"")</f>
        <v/>
      </c>
      <c r="I77" s="16"/>
      <c r="J77" s="16" t="str">
        <f>IFERROR(VLOOKUP(I77,Parâmetros!$G$15:$H$18,2,FALSE),"")</f>
        <v/>
      </c>
      <c r="K77" s="16"/>
      <c r="L77" s="16" t="str">
        <f>IFERROR(VLOOKUP(K77,Parâmetros!$J$15:$K$18,2,FALSE),"")</f>
        <v/>
      </c>
      <c r="M77" s="17" t="str">
        <f>IF(COUNTA(E77,G77,I77,K77)&lt;4,"",F77*Parâmetros!$B$7+H77*Parâmetros!$B$8+J77*Parâmetros!$B$9+L77*Parâmetros!$B$10)</f>
        <v/>
      </c>
      <c r="N77" s="16" t="str">
        <f>IF(M77="","",IFERROR(VLOOKUP(M77,Parâmetros!$M$15:$O$17,2,TRUE),""))</f>
        <v/>
      </c>
      <c r="O77" s="18" t="str">
        <f>IF(N77="","",VLOOKUP(N77,Parâmetros!$N$15:$O$17,2,FALSE))</f>
        <v/>
      </c>
      <c r="P77" s="18" t="str">
        <f>IF(O77="","",O77*VLOOKUP(N77,Parâmetros!$N$15:$P$17,3,FALSE))</f>
        <v/>
      </c>
      <c r="Q77" s="18" t="str">
        <f>IF(O77="","",O77*VLOOKUP(N77,Parâmetros!$N$15:$Q$17,4,FALSE))</f>
        <v/>
      </c>
      <c r="R77" s="15"/>
    </row>
    <row r="78" spans="1:18">
      <c r="A78" s="15"/>
      <c r="B78" s="15"/>
      <c r="C78" s="15"/>
      <c r="D78" s="15"/>
      <c r="E78" s="15"/>
      <c r="F78" s="16" t="str">
        <f>IFERROR(VLOOKUP(E78,Parâmetros!$A$15:$B$18,2,FALSE),"")</f>
        <v/>
      </c>
      <c r="G78" s="16"/>
      <c r="H78" s="16" t="str">
        <f>IFERROR(VLOOKUP(G78,Parâmetros!$D$15:$E$18,2,FALSE),"")</f>
        <v/>
      </c>
      <c r="I78" s="16"/>
      <c r="J78" s="16" t="str">
        <f>IFERROR(VLOOKUP(I78,Parâmetros!$G$15:$H$18,2,FALSE),"")</f>
        <v/>
      </c>
      <c r="K78" s="16"/>
      <c r="L78" s="16" t="str">
        <f>IFERROR(VLOOKUP(K78,Parâmetros!$J$15:$K$18,2,FALSE),"")</f>
        <v/>
      </c>
      <c r="M78" s="17" t="str">
        <f>IF(COUNTA(E78,G78,I78,K78)&lt;4,"",F78*Parâmetros!$B$7+H78*Parâmetros!$B$8+J78*Parâmetros!$B$9+L78*Parâmetros!$B$10)</f>
        <v/>
      </c>
      <c r="N78" s="16" t="str">
        <f>IF(M78="","",IFERROR(VLOOKUP(M78,Parâmetros!$M$15:$O$17,2,TRUE),""))</f>
        <v/>
      </c>
      <c r="O78" s="18" t="str">
        <f>IF(N78="","",VLOOKUP(N78,Parâmetros!$N$15:$O$17,2,FALSE))</f>
        <v/>
      </c>
      <c r="P78" s="18" t="str">
        <f>IF(O78="","",O78*VLOOKUP(N78,Parâmetros!$N$15:$P$17,3,FALSE))</f>
        <v/>
      </c>
      <c r="Q78" s="18" t="str">
        <f>IF(O78="","",O78*VLOOKUP(N78,Parâmetros!$N$15:$Q$17,4,FALSE))</f>
        <v/>
      </c>
      <c r="R78" s="15"/>
    </row>
    <row r="79" spans="1:18">
      <c r="A79" s="15"/>
      <c r="B79" s="15"/>
      <c r="C79" s="15"/>
      <c r="D79" s="15"/>
      <c r="E79" s="15"/>
      <c r="F79" s="16" t="str">
        <f>IFERROR(VLOOKUP(E79,Parâmetros!$A$15:$B$18,2,FALSE),"")</f>
        <v/>
      </c>
      <c r="G79" s="16"/>
      <c r="H79" s="16" t="str">
        <f>IFERROR(VLOOKUP(G79,Parâmetros!$D$15:$E$18,2,FALSE),"")</f>
        <v/>
      </c>
      <c r="I79" s="16"/>
      <c r="J79" s="16" t="str">
        <f>IFERROR(VLOOKUP(I79,Parâmetros!$G$15:$H$18,2,FALSE),"")</f>
        <v/>
      </c>
      <c r="K79" s="16"/>
      <c r="L79" s="16" t="str">
        <f>IFERROR(VLOOKUP(K79,Parâmetros!$J$15:$K$18,2,FALSE),"")</f>
        <v/>
      </c>
      <c r="M79" s="17" t="str">
        <f>IF(COUNTA(E79,G79,I79,K79)&lt;4,"",F79*Parâmetros!$B$7+H79*Parâmetros!$B$8+J79*Parâmetros!$B$9+L79*Parâmetros!$B$10)</f>
        <v/>
      </c>
      <c r="N79" s="16" t="str">
        <f>IF(M79="","",IFERROR(VLOOKUP(M79,Parâmetros!$M$15:$O$17,2,TRUE),""))</f>
        <v/>
      </c>
      <c r="O79" s="18" t="str">
        <f>IF(N79="","",VLOOKUP(N79,Parâmetros!$N$15:$O$17,2,FALSE))</f>
        <v/>
      </c>
      <c r="P79" s="18" t="str">
        <f>IF(O79="","",O79*VLOOKUP(N79,Parâmetros!$N$15:$P$17,3,FALSE))</f>
        <v/>
      </c>
      <c r="Q79" s="18" t="str">
        <f>IF(O79="","",O79*VLOOKUP(N79,Parâmetros!$N$15:$Q$17,4,FALSE))</f>
        <v/>
      </c>
      <c r="R79" s="15"/>
    </row>
    <row r="80" spans="1:18">
      <c r="A80" s="15"/>
      <c r="B80" s="15"/>
      <c r="C80" s="15"/>
      <c r="D80" s="15"/>
      <c r="E80" s="15"/>
      <c r="F80" s="16" t="str">
        <f>IFERROR(VLOOKUP(E80,Parâmetros!$A$15:$B$18,2,FALSE),"")</f>
        <v/>
      </c>
      <c r="G80" s="16"/>
      <c r="H80" s="16" t="str">
        <f>IFERROR(VLOOKUP(G80,Parâmetros!$D$15:$E$18,2,FALSE),"")</f>
        <v/>
      </c>
      <c r="I80" s="16"/>
      <c r="J80" s="16" t="str">
        <f>IFERROR(VLOOKUP(I80,Parâmetros!$G$15:$H$18,2,FALSE),"")</f>
        <v/>
      </c>
      <c r="K80" s="16"/>
      <c r="L80" s="16" t="str">
        <f>IFERROR(VLOOKUP(K80,Parâmetros!$J$15:$K$18,2,FALSE),"")</f>
        <v/>
      </c>
      <c r="M80" s="17" t="str">
        <f>IF(COUNTA(E80,G80,I80,K80)&lt;4,"",F80*Parâmetros!$B$7+H80*Parâmetros!$B$8+J80*Parâmetros!$B$9+L80*Parâmetros!$B$10)</f>
        <v/>
      </c>
      <c r="N80" s="16" t="str">
        <f>IF(M80="","",IFERROR(VLOOKUP(M80,Parâmetros!$M$15:$O$17,2,TRUE),""))</f>
        <v/>
      </c>
      <c r="O80" s="18" t="str">
        <f>IF(N80="","",VLOOKUP(N80,Parâmetros!$N$15:$O$17,2,FALSE))</f>
        <v/>
      </c>
      <c r="P80" s="18" t="str">
        <f>IF(O80="","",O80*VLOOKUP(N80,Parâmetros!$N$15:$P$17,3,FALSE))</f>
        <v/>
      </c>
      <c r="Q80" s="18" t="str">
        <f>IF(O80="","",O80*VLOOKUP(N80,Parâmetros!$N$15:$Q$17,4,FALSE))</f>
        <v/>
      </c>
      <c r="R80" s="15"/>
    </row>
    <row r="81" spans="1:18">
      <c r="A81" s="15"/>
      <c r="B81" s="15"/>
      <c r="C81" s="15"/>
      <c r="D81" s="15"/>
      <c r="E81" s="15"/>
      <c r="F81" s="16" t="str">
        <f>IFERROR(VLOOKUP(E81,Parâmetros!$A$15:$B$18,2,FALSE),"")</f>
        <v/>
      </c>
      <c r="G81" s="16"/>
      <c r="H81" s="16" t="str">
        <f>IFERROR(VLOOKUP(G81,Parâmetros!$D$15:$E$18,2,FALSE),"")</f>
        <v/>
      </c>
      <c r="I81" s="16"/>
      <c r="J81" s="16" t="str">
        <f>IFERROR(VLOOKUP(I81,Parâmetros!$G$15:$H$18,2,FALSE),"")</f>
        <v/>
      </c>
      <c r="K81" s="16"/>
      <c r="L81" s="16" t="str">
        <f>IFERROR(VLOOKUP(K81,Parâmetros!$J$15:$K$18,2,FALSE),"")</f>
        <v/>
      </c>
      <c r="M81" s="17" t="str">
        <f>IF(COUNTA(E81,G81,I81,K81)&lt;4,"",F81*Parâmetros!$B$7+H81*Parâmetros!$B$8+J81*Parâmetros!$B$9+L81*Parâmetros!$B$10)</f>
        <v/>
      </c>
      <c r="N81" s="16" t="str">
        <f>IF(M81="","",IFERROR(VLOOKUP(M81,Parâmetros!$M$15:$O$17,2,TRUE),""))</f>
        <v/>
      </c>
      <c r="O81" s="18" t="str">
        <f>IF(N81="","",VLOOKUP(N81,Parâmetros!$N$15:$O$17,2,FALSE))</f>
        <v/>
      </c>
      <c r="P81" s="18" t="str">
        <f>IF(O81="","",O81*VLOOKUP(N81,Parâmetros!$N$15:$P$17,3,FALSE))</f>
        <v/>
      </c>
      <c r="Q81" s="18" t="str">
        <f>IF(O81="","",O81*VLOOKUP(N81,Parâmetros!$N$15:$Q$17,4,FALSE))</f>
        <v/>
      </c>
      <c r="R81" s="15"/>
    </row>
    <row r="82" spans="1:18">
      <c r="A82" s="15"/>
      <c r="B82" s="15"/>
      <c r="C82" s="15"/>
      <c r="D82" s="15"/>
      <c r="E82" s="15"/>
      <c r="F82" s="16" t="str">
        <f>IFERROR(VLOOKUP(E82,Parâmetros!$A$15:$B$18,2,FALSE),"")</f>
        <v/>
      </c>
      <c r="G82" s="16"/>
      <c r="H82" s="16" t="str">
        <f>IFERROR(VLOOKUP(G82,Parâmetros!$D$15:$E$18,2,FALSE),"")</f>
        <v/>
      </c>
      <c r="I82" s="16"/>
      <c r="J82" s="16" t="str">
        <f>IFERROR(VLOOKUP(I82,Parâmetros!$G$15:$H$18,2,FALSE),"")</f>
        <v/>
      </c>
      <c r="K82" s="16"/>
      <c r="L82" s="16" t="str">
        <f>IFERROR(VLOOKUP(K82,Parâmetros!$J$15:$K$18,2,FALSE),"")</f>
        <v/>
      </c>
      <c r="M82" s="17" t="str">
        <f>IF(COUNTA(E82,G82,I82,K82)&lt;4,"",F82*Parâmetros!$B$7+H82*Parâmetros!$B$8+J82*Parâmetros!$B$9+L82*Parâmetros!$B$10)</f>
        <v/>
      </c>
      <c r="N82" s="16" t="str">
        <f>IF(M82="","",IFERROR(VLOOKUP(M82,Parâmetros!$M$15:$O$17,2,TRUE),""))</f>
        <v/>
      </c>
      <c r="O82" s="18" t="str">
        <f>IF(N82="","",VLOOKUP(N82,Parâmetros!$N$15:$O$17,2,FALSE))</f>
        <v/>
      </c>
      <c r="P82" s="18" t="str">
        <f>IF(O82="","",O82*VLOOKUP(N82,Parâmetros!$N$15:$P$17,3,FALSE))</f>
        <v/>
      </c>
      <c r="Q82" s="18" t="str">
        <f>IF(O82="","",O82*VLOOKUP(N82,Parâmetros!$N$15:$Q$17,4,FALSE))</f>
        <v/>
      </c>
      <c r="R82" s="15"/>
    </row>
    <row r="83" spans="1:18">
      <c r="A83" s="15"/>
      <c r="B83" s="15"/>
      <c r="C83" s="15"/>
      <c r="D83" s="15"/>
      <c r="E83" s="15"/>
      <c r="F83" s="16" t="str">
        <f>IFERROR(VLOOKUP(E83,Parâmetros!$A$15:$B$18,2,FALSE),"")</f>
        <v/>
      </c>
      <c r="G83" s="16"/>
      <c r="H83" s="16" t="str">
        <f>IFERROR(VLOOKUP(G83,Parâmetros!$D$15:$E$18,2,FALSE),"")</f>
        <v/>
      </c>
      <c r="I83" s="16"/>
      <c r="J83" s="16" t="str">
        <f>IFERROR(VLOOKUP(I83,Parâmetros!$G$15:$H$18,2,FALSE),"")</f>
        <v/>
      </c>
      <c r="K83" s="16"/>
      <c r="L83" s="16" t="str">
        <f>IFERROR(VLOOKUP(K83,Parâmetros!$J$15:$K$18,2,FALSE),"")</f>
        <v/>
      </c>
      <c r="M83" s="17" t="str">
        <f>IF(COUNTA(E83,G83,I83,K83)&lt;4,"",F83*Parâmetros!$B$7+H83*Parâmetros!$B$8+J83*Parâmetros!$B$9+L83*Parâmetros!$B$10)</f>
        <v/>
      </c>
      <c r="N83" s="16" t="str">
        <f>IF(M83="","",IFERROR(VLOOKUP(M83,Parâmetros!$M$15:$O$17,2,TRUE),""))</f>
        <v/>
      </c>
      <c r="O83" s="18" t="str">
        <f>IF(N83="","",VLOOKUP(N83,Parâmetros!$N$15:$O$17,2,FALSE))</f>
        <v/>
      </c>
      <c r="P83" s="18" t="str">
        <f>IF(O83="","",O83*VLOOKUP(N83,Parâmetros!$N$15:$P$17,3,FALSE))</f>
        <v/>
      </c>
      <c r="Q83" s="18" t="str">
        <f>IF(O83="","",O83*VLOOKUP(N83,Parâmetros!$N$15:$Q$17,4,FALSE))</f>
        <v/>
      </c>
      <c r="R83" s="15"/>
    </row>
    <row r="84" spans="1:18">
      <c r="A84" s="15"/>
      <c r="B84" s="15"/>
      <c r="C84" s="15"/>
      <c r="D84" s="15"/>
      <c r="E84" s="15"/>
      <c r="F84" s="16" t="str">
        <f>IFERROR(VLOOKUP(E84,Parâmetros!$A$15:$B$18,2,FALSE),"")</f>
        <v/>
      </c>
      <c r="G84" s="16"/>
      <c r="H84" s="16" t="str">
        <f>IFERROR(VLOOKUP(G84,Parâmetros!$D$15:$E$18,2,FALSE),"")</f>
        <v/>
      </c>
      <c r="I84" s="16"/>
      <c r="J84" s="16" t="str">
        <f>IFERROR(VLOOKUP(I84,Parâmetros!$G$15:$H$18,2,FALSE),"")</f>
        <v/>
      </c>
      <c r="K84" s="16"/>
      <c r="L84" s="16" t="str">
        <f>IFERROR(VLOOKUP(K84,Parâmetros!$J$15:$K$18,2,FALSE),"")</f>
        <v/>
      </c>
      <c r="M84" s="17" t="str">
        <f>IF(COUNTA(E84,G84,I84,K84)&lt;4,"",F84*Parâmetros!$B$7+H84*Parâmetros!$B$8+J84*Parâmetros!$B$9+L84*Parâmetros!$B$10)</f>
        <v/>
      </c>
      <c r="N84" s="16" t="str">
        <f>IF(M84="","",IFERROR(VLOOKUP(M84,Parâmetros!$M$15:$O$17,2,TRUE),""))</f>
        <v/>
      </c>
      <c r="O84" s="18" t="str">
        <f>IF(N84="","",VLOOKUP(N84,Parâmetros!$N$15:$O$17,2,FALSE))</f>
        <v/>
      </c>
      <c r="P84" s="18" t="str">
        <f>IF(O84="","",O84*VLOOKUP(N84,Parâmetros!$N$15:$P$17,3,FALSE))</f>
        <v/>
      </c>
      <c r="Q84" s="18" t="str">
        <f>IF(O84="","",O84*VLOOKUP(N84,Parâmetros!$N$15:$Q$17,4,FALSE))</f>
        <v/>
      </c>
      <c r="R84" s="15"/>
    </row>
    <row r="85" spans="1:18">
      <c r="A85" s="15"/>
      <c r="B85" s="15"/>
      <c r="C85" s="15"/>
      <c r="D85" s="15"/>
      <c r="E85" s="15"/>
      <c r="F85" s="16" t="str">
        <f>IFERROR(VLOOKUP(E85,Parâmetros!$A$15:$B$18,2,FALSE),"")</f>
        <v/>
      </c>
      <c r="G85" s="16"/>
      <c r="H85" s="16" t="str">
        <f>IFERROR(VLOOKUP(G85,Parâmetros!$D$15:$E$18,2,FALSE),"")</f>
        <v/>
      </c>
      <c r="I85" s="16"/>
      <c r="J85" s="16" t="str">
        <f>IFERROR(VLOOKUP(I85,Parâmetros!$G$15:$H$18,2,FALSE),"")</f>
        <v/>
      </c>
      <c r="K85" s="16"/>
      <c r="L85" s="16" t="str">
        <f>IFERROR(VLOOKUP(K85,Parâmetros!$J$15:$K$18,2,FALSE),"")</f>
        <v/>
      </c>
      <c r="M85" s="17" t="str">
        <f>IF(COUNTA(E85,G85,I85,K85)&lt;4,"",F85*Parâmetros!$B$7+H85*Parâmetros!$B$8+J85*Parâmetros!$B$9+L85*Parâmetros!$B$10)</f>
        <v/>
      </c>
      <c r="N85" s="16" t="str">
        <f>IF(M85="","",IFERROR(VLOOKUP(M85,Parâmetros!$M$15:$O$17,2,TRUE),""))</f>
        <v/>
      </c>
      <c r="O85" s="18" t="str">
        <f>IF(N85="","",VLOOKUP(N85,Parâmetros!$N$15:$O$17,2,FALSE))</f>
        <v/>
      </c>
      <c r="P85" s="18" t="str">
        <f>IF(O85="","",O85*VLOOKUP(N85,Parâmetros!$N$15:$P$17,3,FALSE))</f>
        <v/>
      </c>
      <c r="Q85" s="18" t="str">
        <f>IF(O85="","",O85*VLOOKUP(N85,Parâmetros!$N$15:$Q$17,4,FALSE))</f>
        <v/>
      </c>
      <c r="R85" s="15"/>
    </row>
    <row r="86" spans="1:18">
      <c r="A86" s="15"/>
      <c r="B86" s="15"/>
      <c r="C86" s="15"/>
      <c r="D86" s="15"/>
      <c r="E86" s="15"/>
      <c r="F86" s="16" t="str">
        <f>IFERROR(VLOOKUP(E86,Parâmetros!$A$15:$B$18,2,FALSE),"")</f>
        <v/>
      </c>
      <c r="G86" s="16"/>
      <c r="H86" s="16" t="str">
        <f>IFERROR(VLOOKUP(G86,Parâmetros!$D$15:$E$18,2,FALSE),"")</f>
        <v/>
      </c>
      <c r="I86" s="16"/>
      <c r="J86" s="16" t="str">
        <f>IFERROR(VLOOKUP(I86,Parâmetros!$G$15:$H$18,2,FALSE),"")</f>
        <v/>
      </c>
      <c r="K86" s="16"/>
      <c r="L86" s="16" t="str">
        <f>IFERROR(VLOOKUP(K86,Parâmetros!$J$15:$K$18,2,FALSE),"")</f>
        <v/>
      </c>
      <c r="M86" s="17" t="str">
        <f>IF(COUNTA(E86,G86,I86,K86)&lt;4,"",F86*Parâmetros!$B$7+H86*Parâmetros!$B$8+J86*Parâmetros!$B$9+L86*Parâmetros!$B$10)</f>
        <v/>
      </c>
      <c r="N86" s="16" t="str">
        <f>IF(M86="","",IFERROR(VLOOKUP(M86,Parâmetros!$M$15:$O$17,2,TRUE),""))</f>
        <v/>
      </c>
      <c r="O86" s="18" t="str">
        <f>IF(N86="","",VLOOKUP(N86,Parâmetros!$N$15:$O$17,2,FALSE))</f>
        <v/>
      </c>
      <c r="P86" s="18" t="str">
        <f>IF(O86="","",O86*VLOOKUP(N86,Parâmetros!$N$15:$P$17,3,FALSE))</f>
        <v/>
      </c>
      <c r="Q86" s="18" t="str">
        <f>IF(O86="","",O86*VLOOKUP(N86,Parâmetros!$N$15:$Q$17,4,FALSE))</f>
        <v/>
      </c>
      <c r="R86" s="15"/>
    </row>
    <row r="87" spans="1:18">
      <c r="A87" s="15"/>
      <c r="B87" s="15"/>
      <c r="C87" s="15"/>
      <c r="D87" s="15"/>
      <c r="E87" s="15"/>
      <c r="F87" s="16" t="str">
        <f>IFERROR(VLOOKUP(E87,Parâmetros!$A$15:$B$18,2,FALSE),"")</f>
        <v/>
      </c>
      <c r="G87" s="16"/>
      <c r="H87" s="16" t="str">
        <f>IFERROR(VLOOKUP(G87,Parâmetros!$D$15:$E$18,2,FALSE),"")</f>
        <v/>
      </c>
      <c r="I87" s="16"/>
      <c r="J87" s="16" t="str">
        <f>IFERROR(VLOOKUP(I87,Parâmetros!$G$15:$H$18,2,FALSE),"")</f>
        <v/>
      </c>
      <c r="K87" s="16"/>
      <c r="L87" s="16" t="str">
        <f>IFERROR(VLOOKUP(K87,Parâmetros!$J$15:$K$18,2,FALSE),"")</f>
        <v/>
      </c>
      <c r="M87" s="17" t="str">
        <f>IF(COUNTA(E87,G87,I87,K87)&lt;4,"",F87*Parâmetros!$B$7+H87*Parâmetros!$B$8+J87*Parâmetros!$B$9+L87*Parâmetros!$B$10)</f>
        <v/>
      </c>
      <c r="N87" s="16" t="str">
        <f>IF(M87="","",IFERROR(VLOOKUP(M87,Parâmetros!$M$15:$O$17,2,TRUE),""))</f>
        <v/>
      </c>
      <c r="O87" s="18" t="str">
        <f>IF(N87="","",VLOOKUP(N87,Parâmetros!$N$15:$O$17,2,FALSE))</f>
        <v/>
      </c>
      <c r="P87" s="18" t="str">
        <f>IF(O87="","",O87*VLOOKUP(N87,Parâmetros!$N$15:$P$17,3,FALSE))</f>
        <v/>
      </c>
      <c r="Q87" s="18" t="str">
        <f>IF(O87="","",O87*VLOOKUP(N87,Parâmetros!$N$15:$Q$17,4,FALSE))</f>
        <v/>
      </c>
      <c r="R87" s="15"/>
    </row>
    <row r="88" spans="1:18">
      <c r="A88" s="15"/>
      <c r="B88" s="15"/>
      <c r="C88" s="15"/>
      <c r="D88" s="15"/>
      <c r="E88" s="15"/>
      <c r="F88" s="16" t="str">
        <f>IFERROR(VLOOKUP(E88,Parâmetros!$A$15:$B$18,2,FALSE),"")</f>
        <v/>
      </c>
      <c r="G88" s="16"/>
      <c r="H88" s="16" t="str">
        <f>IFERROR(VLOOKUP(G88,Parâmetros!$D$15:$E$18,2,FALSE),"")</f>
        <v/>
      </c>
      <c r="I88" s="16"/>
      <c r="J88" s="16" t="str">
        <f>IFERROR(VLOOKUP(I88,Parâmetros!$G$15:$H$18,2,FALSE),"")</f>
        <v/>
      </c>
      <c r="K88" s="16"/>
      <c r="L88" s="16" t="str">
        <f>IFERROR(VLOOKUP(K88,Parâmetros!$J$15:$K$18,2,FALSE),"")</f>
        <v/>
      </c>
      <c r="M88" s="17" t="str">
        <f>IF(COUNTA(E88,G88,I88,K88)&lt;4,"",F88*Parâmetros!$B$7+H88*Parâmetros!$B$8+J88*Parâmetros!$B$9+L88*Parâmetros!$B$10)</f>
        <v/>
      </c>
      <c r="N88" s="16" t="str">
        <f>IF(M88="","",IFERROR(VLOOKUP(M88,Parâmetros!$M$15:$O$17,2,TRUE),""))</f>
        <v/>
      </c>
      <c r="O88" s="18" t="str">
        <f>IF(N88="","",VLOOKUP(N88,Parâmetros!$N$15:$O$17,2,FALSE))</f>
        <v/>
      </c>
      <c r="P88" s="18" t="str">
        <f>IF(O88="","",O88*VLOOKUP(N88,Parâmetros!$N$15:$P$17,3,FALSE))</f>
        <v/>
      </c>
      <c r="Q88" s="18" t="str">
        <f>IF(O88="","",O88*VLOOKUP(N88,Parâmetros!$N$15:$Q$17,4,FALSE))</f>
        <v/>
      </c>
      <c r="R88" s="15"/>
    </row>
    <row r="89" spans="1:18">
      <c r="A89" s="15"/>
      <c r="B89" s="15"/>
      <c r="C89" s="15"/>
      <c r="D89" s="15"/>
      <c r="E89" s="15"/>
      <c r="F89" s="16" t="str">
        <f>IFERROR(VLOOKUP(E89,Parâmetros!$A$15:$B$18,2,FALSE),"")</f>
        <v/>
      </c>
      <c r="G89" s="16"/>
      <c r="H89" s="16" t="str">
        <f>IFERROR(VLOOKUP(G89,Parâmetros!$D$15:$E$18,2,FALSE),"")</f>
        <v/>
      </c>
      <c r="I89" s="16"/>
      <c r="J89" s="16" t="str">
        <f>IFERROR(VLOOKUP(I89,Parâmetros!$G$15:$H$18,2,FALSE),"")</f>
        <v/>
      </c>
      <c r="K89" s="16"/>
      <c r="L89" s="16" t="str">
        <f>IFERROR(VLOOKUP(K89,Parâmetros!$J$15:$K$18,2,FALSE),"")</f>
        <v/>
      </c>
      <c r="M89" s="17" t="str">
        <f>IF(COUNTA(E89,G89,I89,K89)&lt;4,"",F89*Parâmetros!$B$7+H89*Parâmetros!$B$8+J89*Parâmetros!$B$9+L89*Parâmetros!$B$10)</f>
        <v/>
      </c>
      <c r="N89" s="16" t="str">
        <f>IF(M89="","",IFERROR(VLOOKUP(M89,Parâmetros!$M$15:$O$17,2,TRUE),""))</f>
        <v/>
      </c>
      <c r="O89" s="18" t="str">
        <f>IF(N89="","",VLOOKUP(N89,Parâmetros!$N$15:$O$17,2,FALSE))</f>
        <v/>
      </c>
      <c r="P89" s="18" t="str">
        <f>IF(O89="","",O89*VLOOKUP(N89,Parâmetros!$N$15:$P$17,3,FALSE))</f>
        <v/>
      </c>
      <c r="Q89" s="18" t="str">
        <f>IF(O89="","",O89*VLOOKUP(N89,Parâmetros!$N$15:$Q$17,4,FALSE))</f>
        <v/>
      </c>
      <c r="R89" s="15"/>
    </row>
    <row r="90" spans="1:18">
      <c r="A90" s="15"/>
      <c r="B90" s="15"/>
      <c r="C90" s="15"/>
      <c r="D90" s="15"/>
      <c r="E90" s="15"/>
      <c r="F90" s="16" t="str">
        <f>IFERROR(VLOOKUP(E90,Parâmetros!$A$15:$B$18,2,FALSE),"")</f>
        <v/>
      </c>
      <c r="G90" s="16"/>
      <c r="H90" s="16" t="str">
        <f>IFERROR(VLOOKUP(G90,Parâmetros!$D$15:$E$18,2,FALSE),"")</f>
        <v/>
      </c>
      <c r="I90" s="16"/>
      <c r="J90" s="16" t="str">
        <f>IFERROR(VLOOKUP(I90,Parâmetros!$G$15:$H$18,2,FALSE),"")</f>
        <v/>
      </c>
      <c r="K90" s="16"/>
      <c r="L90" s="16" t="str">
        <f>IFERROR(VLOOKUP(K90,Parâmetros!$J$15:$K$18,2,FALSE),"")</f>
        <v/>
      </c>
      <c r="M90" s="17" t="str">
        <f>IF(COUNTA(E90,G90,I90,K90)&lt;4,"",F90*Parâmetros!$B$7+H90*Parâmetros!$B$8+J90*Parâmetros!$B$9+L90*Parâmetros!$B$10)</f>
        <v/>
      </c>
      <c r="N90" s="16" t="str">
        <f>IF(M90="","",IFERROR(VLOOKUP(M90,Parâmetros!$M$15:$O$17,2,TRUE),""))</f>
        <v/>
      </c>
      <c r="O90" s="18" t="str">
        <f>IF(N90="","",VLOOKUP(N90,Parâmetros!$N$15:$O$17,2,FALSE))</f>
        <v/>
      </c>
      <c r="P90" s="18" t="str">
        <f>IF(O90="","",O90*VLOOKUP(N90,Parâmetros!$N$15:$P$17,3,FALSE))</f>
        <v/>
      </c>
      <c r="Q90" s="18" t="str">
        <f>IF(O90="","",O90*VLOOKUP(N90,Parâmetros!$N$15:$Q$17,4,FALSE))</f>
        <v/>
      </c>
      <c r="R90" s="15"/>
    </row>
    <row r="91" spans="1:18">
      <c r="A91" s="15"/>
      <c r="B91" s="15"/>
      <c r="C91" s="15"/>
      <c r="D91" s="15"/>
      <c r="E91" s="15"/>
      <c r="F91" s="16" t="str">
        <f>IFERROR(VLOOKUP(E91,Parâmetros!$A$15:$B$18,2,FALSE),"")</f>
        <v/>
      </c>
      <c r="G91" s="16"/>
      <c r="H91" s="16" t="str">
        <f>IFERROR(VLOOKUP(G91,Parâmetros!$D$15:$E$18,2,FALSE),"")</f>
        <v/>
      </c>
      <c r="I91" s="16"/>
      <c r="J91" s="16" t="str">
        <f>IFERROR(VLOOKUP(I91,Parâmetros!$G$15:$H$18,2,FALSE),"")</f>
        <v/>
      </c>
      <c r="K91" s="16"/>
      <c r="L91" s="16" t="str">
        <f>IFERROR(VLOOKUP(K91,Parâmetros!$J$15:$K$18,2,FALSE),"")</f>
        <v/>
      </c>
      <c r="M91" s="17" t="str">
        <f>IF(COUNTA(E91,G91,I91,K91)&lt;4,"",F91*Parâmetros!$B$7+H91*Parâmetros!$B$8+J91*Parâmetros!$B$9+L91*Parâmetros!$B$10)</f>
        <v/>
      </c>
      <c r="N91" s="16" t="str">
        <f>IF(M91="","",IFERROR(VLOOKUP(M91,Parâmetros!$M$15:$O$17,2,TRUE),""))</f>
        <v/>
      </c>
      <c r="O91" s="18" t="str">
        <f>IF(N91="","",VLOOKUP(N91,Parâmetros!$N$15:$O$17,2,FALSE))</f>
        <v/>
      </c>
      <c r="P91" s="18" t="str">
        <f>IF(O91="","",O91*VLOOKUP(N91,Parâmetros!$N$15:$P$17,3,FALSE))</f>
        <v/>
      </c>
      <c r="Q91" s="18" t="str">
        <f>IF(O91="","",O91*VLOOKUP(N91,Parâmetros!$N$15:$Q$17,4,FALSE))</f>
        <v/>
      </c>
      <c r="R91" s="15"/>
    </row>
    <row r="92" spans="1:18">
      <c r="A92" s="15"/>
      <c r="B92" s="15"/>
      <c r="C92" s="15"/>
      <c r="D92" s="15"/>
      <c r="E92" s="15"/>
      <c r="F92" s="16" t="str">
        <f>IFERROR(VLOOKUP(E92,Parâmetros!$A$15:$B$18,2,FALSE),"")</f>
        <v/>
      </c>
      <c r="G92" s="16"/>
      <c r="H92" s="16" t="str">
        <f>IFERROR(VLOOKUP(G92,Parâmetros!$D$15:$E$18,2,FALSE),"")</f>
        <v/>
      </c>
      <c r="I92" s="16"/>
      <c r="J92" s="16" t="str">
        <f>IFERROR(VLOOKUP(I92,Parâmetros!$G$15:$H$18,2,FALSE),"")</f>
        <v/>
      </c>
      <c r="K92" s="16"/>
      <c r="L92" s="16" t="str">
        <f>IFERROR(VLOOKUP(K92,Parâmetros!$J$15:$K$18,2,FALSE),"")</f>
        <v/>
      </c>
      <c r="M92" s="17" t="str">
        <f>IF(COUNTA(E92,G92,I92,K92)&lt;4,"",F92*Parâmetros!$B$7+H92*Parâmetros!$B$8+J92*Parâmetros!$B$9+L92*Parâmetros!$B$10)</f>
        <v/>
      </c>
      <c r="N92" s="16" t="str">
        <f>IF(M92="","",IFERROR(VLOOKUP(M92,Parâmetros!$M$15:$O$17,2,TRUE),""))</f>
        <v/>
      </c>
      <c r="O92" s="18" t="str">
        <f>IF(N92="","",VLOOKUP(N92,Parâmetros!$N$15:$O$17,2,FALSE))</f>
        <v/>
      </c>
      <c r="P92" s="18" t="str">
        <f>IF(O92="","",O92*VLOOKUP(N92,Parâmetros!$N$15:$P$17,3,FALSE))</f>
        <v/>
      </c>
      <c r="Q92" s="18" t="str">
        <f>IF(O92="","",O92*VLOOKUP(N92,Parâmetros!$N$15:$Q$17,4,FALSE))</f>
        <v/>
      </c>
      <c r="R92" s="15"/>
    </row>
    <row r="93" spans="1:18">
      <c r="A93" s="15"/>
      <c r="B93" s="15"/>
      <c r="C93" s="15"/>
      <c r="D93" s="15"/>
      <c r="E93" s="15"/>
      <c r="F93" s="16" t="str">
        <f>IFERROR(VLOOKUP(E93,Parâmetros!$A$15:$B$18,2,FALSE),"")</f>
        <v/>
      </c>
      <c r="G93" s="16"/>
      <c r="H93" s="16" t="str">
        <f>IFERROR(VLOOKUP(G93,Parâmetros!$D$15:$E$18,2,FALSE),"")</f>
        <v/>
      </c>
      <c r="I93" s="16"/>
      <c r="J93" s="16" t="str">
        <f>IFERROR(VLOOKUP(I93,Parâmetros!$G$15:$H$18,2,FALSE),"")</f>
        <v/>
      </c>
      <c r="K93" s="16"/>
      <c r="L93" s="16" t="str">
        <f>IFERROR(VLOOKUP(K93,Parâmetros!$J$15:$K$18,2,FALSE),"")</f>
        <v/>
      </c>
      <c r="M93" s="17" t="str">
        <f>IF(COUNTA(E93,G93,I93,K93)&lt;4,"",F93*Parâmetros!$B$7+H93*Parâmetros!$B$8+J93*Parâmetros!$B$9+L93*Parâmetros!$B$10)</f>
        <v/>
      </c>
      <c r="N93" s="16" t="str">
        <f>IF(M93="","",IFERROR(VLOOKUP(M93,Parâmetros!$M$15:$O$17,2,TRUE),""))</f>
        <v/>
      </c>
      <c r="O93" s="18" t="str">
        <f>IF(N93="","",VLOOKUP(N93,Parâmetros!$N$15:$O$17,2,FALSE))</f>
        <v/>
      </c>
      <c r="P93" s="18" t="str">
        <f>IF(O93="","",O93*VLOOKUP(N93,Parâmetros!$N$15:$P$17,3,FALSE))</f>
        <v/>
      </c>
      <c r="Q93" s="18" t="str">
        <f>IF(O93="","",O93*VLOOKUP(N93,Parâmetros!$N$15:$Q$17,4,FALSE))</f>
        <v/>
      </c>
      <c r="R93" s="15"/>
    </row>
    <row r="94" spans="1:18">
      <c r="A94" s="15"/>
      <c r="B94" s="15"/>
      <c r="C94" s="15"/>
      <c r="D94" s="15"/>
      <c r="E94" s="15"/>
      <c r="F94" s="16" t="str">
        <f>IFERROR(VLOOKUP(E94,Parâmetros!$A$15:$B$18,2,FALSE),"")</f>
        <v/>
      </c>
      <c r="G94" s="16"/>
      <c r="H94" s="16" t="str">
        <f>IFERROR(VLOOKUP(G94,Parâmetros!$D$15:$E$18,2,FALSE),"")</f>
        <v/>
      </c>
      <c r="I94" s="16"/>
      <c r="J94" s="16" t="str">
        <f>IFERROR(VLOOKUP(I94,Parâmetros!$G$15:$H$18,2,FALSE),"")</f>
        <v/>
      </c>
      <c r="K94" s="16"/>
      <c r="L94" s="16" t="str">
        <f>IFERROR(VLOOKUP(K94,Parâmetros!$J$15:$K$18,2,FALSE),"")</f>
        <v/>
      </c>
      <c r="M94" s="17" t="str">
        <f>IF(COUNTA(E94,G94,I94,K94)&lt;4,"",F94*Parâmetros!$B$7+H94*Parâmetros!$B$8+J94*Parâmetros!$B$9+L94*Parâmetros!$B$10)</f>
        <v/>
      </c>
      <c r="N94" s="16" t="str">
        <f>IF(M94="","",IFERROR(VLOOKUP(M94,Parâmetros!$M$15:$O$17,2,TRUE),""))</f>
        <v/>
      </c>
      <c r="O94" s="18" t="str">
        <f>IF(N94="","",VLOOKUP(N94,Parâmetros!$N$15:$O$17,2,FALSE))</f>
        <v/>
      </c>
      <c r="P94" s="18" t="str">
        <f>IF(O94="","",O94*VLOOKUP(N94,Parâmetros!$N$15:$P$17,3,FALSE))</f>
        <v/>
      </c>
      <c r="Q94" s="18" t="str">
        <f>IF(O94="","",O94*VLOOKUP(N94,Parâmetros!$N$15:$Q$17,4,FALSE))</f>
        <v/>
      </c>
      <c r="R94" s="15"/>
    </row>
    <row r="95" spans="1:18">
      <c r="A95" s="15"/>
      <c r="B95" s="15"/>
      <c r="C95" s="15"/>
      <c r="D95" s="15"/>
      <c r="E95" s="15"/>
      <c r="F95" s="16" t="str">
        <f>IFERROR(VLOOKUP(E95,Parâmetros!$A$15:$B$18,2,FALSE),"")</f>
        <v/>
      </c>
      <c r="G95" s="16"/>
      <c r="H95" s="16" t="str">
        <f>IFERROR(VLOOKUP(G95,Parâmetros!$D$15:$E$18,2,FALSE),"")</f>
        <v/>
      </c>
      <c r="I95" s="16"/>
      <c r="J95" s="16" t="str">
        <f>IFERROR(VLOOKUP(I95,Parâmetros!$G$15:$H$18,2,FALSE),"")</f>
        <v/>
      </c>
      <c r="K95" s="16"/>
      <c r="L95" s="16" t="str">
        <f>IFERROR(VLOOKUP(K95,Parâmetros!$J$15:$K$18,2,FALSE),"")</f>
        <v/>
      </c>
      <c r="M95" s="17" t="str">
        <f>IF(COUNTA(E95,G95,I95,K95)&lt;4,"",F95*Parâmetros!$B$7+H95*Parâmetros!$B$8+J95*Parâmetros!$B$9+L95*Parâmetros!$B$10)</f>
        <v/>
      </c>
      <c r="N95" s="16" t="str">
        <f>IF(M95="","",IFERROR(VLOOKUP(M95,Parâmetros!$M$15:$O$17,2,TRUE),""))</f>
        <v/>
      </c>
      <c r="O95" s="18" t="str">
        <f>IF(N95="","",VLOOKUP(N95,Parâmetros!$N$15:$O$17,2,FALSE))</f>
        <v/>
      </c>
      <c r="P95" s="18" t="str">
        <f>IF(O95="","",O95*VLOOKUP(N95,Parâmetros!$N$15:$P$17,3,FALSE))</f>
        <v/>
      </c>
      <c r="Q95" s="18" t="str">
        <f>IF(O95="","",O95*VLOOKUP(N95,Parâmetros!$N$15:$Q$17,4,FALSE))</f>
        <v/>
      </c>
      <c r="R95" s="15"/>
    </row>
    <row r="96" spans="1:18">
      <c r="A96" s="15"/>
      <c r="B96" s="15"/>
      <c r="C96" s="15"/>
      <c r="D96" s="15"/>
      <c r="E96" s="15"/>
      <c r="F96" s="16" t="str">
        <f>IFERROR(VLOOKUP(E96,Parâmetros!$A$15:$B$18,2,FALSE),"")</f>
        <v/>
      </c>
      <c r="G96" s="16"/>
      <c r="H96" s="16" t="str">
        <f>IFERROR(VLOOKUP(G96,Parâmetros!$D$15:$E$18,2,FALSE),"")</f>
        <v/>
      </c>
      <c r="I96" s="16"/>
      <c r="J96" s="16" t="str">
        <f>IFERROR(VLOOKUP(I96,Parâmetros!$G$15:$H$18,2,FALSE),"")</f>
        <v/>
      </c>
      <c r="K96" s="16"/>
      <c r="L96" s="16" t="str">
        <f>IFERROR(VLOOKUP(K96,Parâmetros!$J$15:$K$18,2,FALSE),"")</f>
        <v/>
      </c>
      <c r="M96" s="17" t="str">
        <f>IF(COUNTA(E96,G96,I96,K96)&lt;4,"",F96*Parâmetros!$B$7+H96*Parâmetros!$B$8+J96*Parâmetros!$B$9+L96*Parâmetros!$B$10)</f>
        <v/>
      </c>
      <c r="N96" s="16" t="str">
        <f>IF(M96="","",IFERROR(VLOOKUP(M96,Parâmetros!$M$15:$O$17,2,TRUE),""))</f>
        <v/>
      </c>
      <c r="O96" s="18" t="str">
        <f>IF(N96="","",VLOOKUP(N96,Parâmetros!$N$15:$O$17,2,FALSE))</f>
        <v/>
      </c>
      <c r="P96" s="18" t="str">
        <f>IF(O96="","",O96*VLOOKUP(N96,Parâmetros!$N$15:$P$17,3,FALSE))</f>
        <v/>
      </c>
      <c r="Q96" s="18" t="str">
        <f>IF(O96="","",O96*VLOOKUP(N96,Parâmetros!$N$15:$Q$17,4,FALSE))</f>
        <v/>
      </c>
      <c r="R96" s="15"/>
    </row>
    <row r="97" spans="1:18">
      <c r="A97" s="15"/>
      <c r="B97" s="15"/>
      <c r="C97" s="15"/>
      <c r="D97" s="15"/>
      <c r="E97" s="15"/>
      <c r="F97" s="16" t="str">
        <f>IFERROR(VLOOKUP(E97,Parâmetros!$A$15:$B$18,2,FALSE),"")</f>
        <v/>
      </c>
      <c r="G97" s="16"/>
      <c r="H97" s="16" t="str">
        <f>IFERROR(VLOOKUP(G97,Parâmetros!$D$15:$E$18,2,FALSE),"")</f>
        <v/>
      </c>
      <c r="I97" s="16"/>
      <c r="J97" s="16" t="str">
        <f>IFERROR(VLOOKUP(I97,Parâmetros!$G$15:$H$18,2,FALSE),"")</f>
        <v/>
      </c>
      <c r="K97" s="16"/>
      <c r="L97" s="16" t="str">
        <f>IFERROR(VLOOKUP(K97,Parâmetros!$J$15:$K$18,2,FALSE),"")</f>
        <v/>
      </c>
      <c r="M97" s="17" t="str">
        <f>IF(COUNTA(E97,G97,I97,K97)&lt;4,"",F97*Parâmetros!$B$7+H97*Parâmetros!$B$8+J97*Parâmetros!$B$9+L97*Parâmetros!$B$10)</f>
        <v/>
      </c>
      <c r="N97" s="16" t="str">
        <f>IF(M97="","",IFERROR(VLOOKUP(M97,Parâmetros!$M$15:$O$17,2,TRUE),""))</f>
        <v/>
      </c>
      <c r="O97" s="18" t="str">
        <f>IF(N97="","",VLOOKUP(N97,Parâmetros!$N$15:$O$17,2,FALSE))</f>
        <v/>
      </c>
      <c r="P97" s="18" t="str">
        <f>IF(O97="","",O97*VLOOKUP(N97,Parâmetros!$N$15:$P$17,3,FALSE))</f>
        <v/>
      </c>
      <c r="Q97" s="18" t="str">
        <f>IF(O97="","",O97*VLOOKUP(N97,Parâmetros!$N$15:$Q$17,4,FALSE))</f>
        <v/>
      </c>
      <c r="R97" s="15"/>
    </row>
    <row r="98" spans="1:18">
      <c r="A98" s="15"/>
      <c r="B98" s="15"/>
      <c r="C98" s="15"/>
      <c r="D98" s="15"/>
      <c r="E98" s="15"/>
      <c r="F98" s="16" t="str">
        <f>IFERROR(VLOOKUP(E98,Parâmetros!$A$15:$B$18,2,FALSE),"")</f>
        <v/>
      </c>
      <c r="G98" s="16"/>
      <c r="H98" s="16" t="str">
        <f>IFERROR(VLOOKUP(G98,Parâmetros!$D$15:$E$18,2,FALSE),"")</f>
        <v/>
      </c>
      <c r="I98" s="16"/>
      <c r="J98" s="16" t="str">
        <f>IFERROR(VLOOKUP(I98,Parâmetros!$G$15:$H$18,2,FALSE),"")</f>
        <v/>
      </c>
      <c r="K98" s="16"/>
      <c r="L98" s="16" t="str">
        <f>IFERROR(VLOOKUP(K98,Parâmetros!$J$15:$K$18,2,FALSE),"")</f>
        <v/>
      </c>
      <c r="M98" s="17" t="str">
        <f>IF(COUNTA(E98,G98,I98,K98)&lt;4,"",F98*Parâmetros!$B$7+H98*Parâmetros!$B$8+J98*Parâmetros!$B$9+L98*Parâmetros!$B$10)</f>
        <v/>
      </c>
      <c r="N98" s="16" t="str">
        <f>IF(M98="","",IFERROR(VLOOKUP(M98,Parâmetros!$M$15:$O$17,2,TRUE),""))</f>
        <v/>
      </c>
      <c r="O98" s="18" t="str">
        <f>IF(N98="","",VLOOKUP(N98,Parâmetros!$N$15:$O$17,2,FALSE))</f>
        <v/>
      </c>
      <c r="P98" s="18" t="str">
        <f>IF(O98="","",O98*VLOOKUP(N98,Parâmetros!$N$15:$P$17,3,FALSE))</f>
        <v/>
      </c>
      <c r="Q98" s="18" t="str">
        <f>IF(O98="","",O98*VLOOKUP(N98,Parâmetros!$N$15:$Q$17,4,FALSE))</f>
        <v/>
      </c>
      <c r="R98" s="15"/>
    </row>
    <row r="99" spans="1:18">
      <c r="A99" s="15"/>
      <c r="B99" s="15"/>
      <c r="C99" s="15"/>
      <c r="D99" s="15"/>
      <c r="E99" s="15"/>
      <c r="F99" s="16" t="str">
        <f>IFERROR(VLOOKUP(E99,Parâmetros!$A$15:$B$18,2,FALSE),"")</f>
        <v/>
      </c>
      <c r="G99" s="16"/>
      <c r="H99" s="16" t="str">
        <f>IFERROR(VLOOKUP(G99,Parâmetros!$D$15:$E$18,2,FALSE),"")</f>
        <v/>
      </c>
      <c r="I99" s="16"/>
      <c r="J99" s="16" t="str">
        <f>IFERROR(VLOOKUP(I99,Parâmetros!$G$15:$H$18,2,FALSE),"")</f>
        <v/>
      </c>
      <c r="K99" s="16"/>
      <c r="L99" s="16" t="str">
        <f>IFERROR(VLOOKUP(K99,Parâmetros!$J$15:$K$18,2,FALSE),"")</f>
        <v/>
      </c>
      <c r="M99" s="17" t="str">
        <f>IF(COUNTA(E99,G99,I99,K99)&lt;4,"",F99*Parâmetros!$B$7+H99*Parâmetros!$B$8+J99*Parâmetros!$B$9+L99*Parâmetros!$B$10)</f>
        <v/>
      </c>
      <c r="N99" s="16" t="str">
        <f>IF(M99="","",IFERROR(VLOOKUP(M99,Parâmetros!$M$15:$O$17,2,TRUE),""))</f>
        <v/>
      </c>
      <c r="O99" s="18" t="str">
        <f>IF(N99="","",VLOOKUP(N99,Parâmetros!$N$15:$O$17,2,FALSE))</f>
        <v/>
      </c>
      <c r="P99" s="18" t="str">
        <f>IF(O99="","",O99*VLOOKUP(N99,Parâmetros!$N$15:$P$17,3,FALSE))</f>
        <v/>
      </c>
      <c r="Q99" s="18" t="str">
        <f>IF(O99="","",O99*VLOOKUP(N99,Parâmetros!$N$15:$Q$17,4,FALSE))</f>
        <v/>
      </c>
      <c r="R99" s="15"/>
    </row>
    <row r="100" spans="1:18">
      <c r="A100" s="15"/>
      <c r="B100" s="15"/>
      <c r="C100" s="15"/>
      <c r="D100" s="15"/>
      <c r="E100" s="15"/>
      <c r="F100" s="16" t="str">
        <f>IFERROR(VLOOKUP(E100,Parâmetros!$A$15:$B$18,2,FALSE),"")</f>
        <v/>
      </c>
      <c r="G100" s="16"/>
      <c r="H100" s="16" t="str">
        <f>IFERROR(VLOOKUP(G100,Parâmetros!$D$15:$E$18,2,FALSE),"")</f>
        <v/>
      </c>
      <c r="I100" s="16"/>
      <c r="J100" s="16" t="str">
        <f>IFERROR(VLOOKUP(I100,Parâmetros!$G$15:$H$18,2,FALSE),"")</f>
        <v/>
      </c>
      <c r="K100" s="16"/>
      <c r="L100" s="16" t="str">
        <f>IFERROR(VLOOKUP(K100,Parâmetros!$J$15:$K$18,2,FALSE),"")</f>
        <v/>
      </c>
      <c r="M100" s="17" t="str">
        <f>IF(COUNTA(E100,G100,I100,K100)&lt;4,"",F100*Parâmetros!$B$7+H100*Parâmetros!$B$8+J100*Parâmetros!$B$9+L100*Parâmetros!$B$10)</f>
        <v/>
      </c>
      <c r="N100" s="16" t="str">
        <f>IF(M100="","",IFERROR(VLOOKUP(M100,Parâmetros!$M$15:$O$17,2,TRUE),""))</f>
        <v/>
      </c>
      <c r="O100" s="18" t="str">
        <f>IF(N100="","",VLOOKUP(N100,Parâmetros!$N$15:$O$17,2,FALSE))</f>
        <v/>
      </c>
      <c r="P100" s="18" t="str">
        <f>IF(O100="","",O100*VLOOKUP(N100,Parâmetros!$N$15:$P$17,3,FALSE))</f>
        <v/>
      </c>
      <c r="Q100" s="18" t="str">
        <f>IF(O100="","",O100*VLOOKUP(N100,Parâmetros!$N$15:$Q$17,4,FALSE))</f>
        <v/>
      </c>
      <c r="R100" s="15"/>
    </row>
    <row r="101" spans="1:18">
      <c r="A101" s="15"/>
      <c r="B101" s="15"/>
      <c r="C101" s="15"/>
      <c r="D101" s="15"/>
      <c r="E101" s="15"/>
      <c r="F101" s="16" t="str">
        <f>IFERROR(VLOOKUP(E101,Parâmetros!$A$15:$B$18,2,FALSE),"")</f>
        <v/>
      </c>
      <c r="G101" s="16"/>
      <c r="H101" s="16" t="str">
        <f>IFERROR(VLOOKUP(G101,Parâmetros!$D$15:$E$18,2,FALSE),"")</f>
        <v/>
      </c>
      <c r="I101" s="16"/>
      <c r="J101" s="16" t="str">
        <f>IFERROR(VLOOKUP(I101,Parâmetros!$G$15:$H$18,2,FALSE),"")</f>
        <v/>
      </c>
      <c r="K101" s="16"/>
      <c r="L101" s="16" t="str">
        <f>IFERROR(VLOOKUP(K101,Parâmetros!$J$15:$K$18,2,FALSE),"")</f>
        <v/>
      </c>
      <c r="M101" s="17" t="str">
        <f>IF(COUNTA(E101,G101,I101,K101)&lt;4,"",F101*Parâmetros!$B$7+H101*Parâmetros!$B$8+J101*Parâmetros!$B$9+L101*Parâmetros!$B$10)</f>
        <v/>
      </c>
      <c r="N101" s="16" t="str">
        <f>IF(M101="","",IFERROR(VLOOKUP(M101,Parâmetros!$M$15:$O$17,2,TRUE),""))</f>
        <v/>
      </c>
      <c r="O101" s="18" t="str">
        <f>IF(N101="","",VLOOKUP(N101,Parâmetros!$N$15:$O$17,2,FALSE))</f>
        <v/>
      </c>
      <c r="P101" s="18" t="str">
        <f>IF(O101="","",O101*VLOOKUP(N101,Parâmetros!$N$15:$P$17,3,FALSE))</f>
        <v/>
      </c>
      <c r="Q101" s="18" t="str">
        <f>IF(O101="","",O101*VLOOKUP(N101,Parâmetros!$N$15:$Q$17,4,FALSE))</f>
        <v/>
      </c>
      <c r="R101" s="15"/>
    </row>
    <row r="102" spans="1:18">
      <c r="A102" s="15"/>
      <c r="B102" s="15"/>
      <c r="C102" s="15"/>
      <c r="D102" s="15"/>
      <c r="E102" s="15"/>
      <c r="F102" s="16" t="str">
        <f>IFERROR(VLOOKUP(E102,Parâmetros!$A$15:$B$18,2,FALSE),"")</f>
        <v/>
      </c>
      <c r="G102" s="16"/>
      <c r="H102" s="16" t="str">
        <f>IFERROR(VLOOKUP(G102,Parâmetros!$D$15:$E$18,2,FALSE),"")</f>
        <v/>
      </c>
      <c r="I102" s="16"/>
      <c r="J102" s="16" t="str">
        <f>IFERROR(VLOOKUP(I102,Parâmetros!$G$15:$H$18,2,FALSE),"")</f>
        <v/>
      </c>
      <c r="K102" s="16"/>
      <c r="L102" s="16" t="str">
        <f>IFERROR(VLOOKUP(K102,Parâmetros!$J$15:$K$18,2,FALSE),"")</f>
        <v/>
      </c>
      <c r="M102" s="17" t="str">
        <f>IF(COUNTA(E102,G102,I102,K102)&lt;4,"",F102*Parâmetros!$B$7+H102*Parâmetros!$B$8+J102*Parâmetros!$B$9+L102*Parâmetros!$B$10)</f>
        <v/>
      </c>
      <c r="N102" s="16" t="str">
        <f>IF(M102="","",IFERROR(VLOOKUP(M102,Parâmetros!$M$15:$O$17,2,TRUE),""))</f>
        <v/>
      </c>
      <c r="O102" s="18" t="str">
        <f>IF(N102="","",VLOOKUP(N102,Parâmetros!$N$15:$O$17,2,FALSE))</f>
        <v/>
      </c>
      <c r="P102" s="18" t="str">
        <f>IF(O102="","",O102*VLOOKUP(N102,Parâmetros!$N$15:$P$17,3,FALSE))</f>
        <v/>
      </c>
      <c r="Q102" s="18" t="str">
        <f>IF(O102="","",O102*VLOOKUP(N102,Parâmetros!$N$15:$Q$17,4,FALSE))</f>
        <v/>
      </c>
      <c r="R102" s="15"/>
    </row>
    <row r="103" spans="1:18">
      <c r="A103" s="15"/>
      <c r="B103" s="15"/>
      <c r="C103" s="15"/>
      <c r="D103" s="15"/>
      <c r="E103" s="15"/>
      <c r="F103" s="16" t="str">
        <f>IFERROR(VLOOKUP(E103,Parâmetros!$A$15:$B$18,2,FALSE),"")</f>
        <v/>
      </c>
      <c r="G103" s="16"/>
      <c r="H103" s="16" t="str">
        <f>IFERROR(VLOOKUP(G103,Parâmetros!$D$15:$E$18,2,FALSE),"")</f>
        <v/>
      </c>
      <c r="I103" s="16"/>
      <c r="J103" s="16" t="str">
        <f>IFERROR(VLOOKUP(I103,Parâmetros!$G$15:$H$18,2,FALSE),"")</f>
        <v/>
      </c>
      <c r="K103" s="16"/>
      <c r="L103" s="16" t="str">
        <f>IFERROR(VLOOKUP(K103,Parâmetros!$J$15:$K$18,2,FALSE),"")</f>
        <v/>
      </c>
      <c r="M103" s="17" t="str">
        <f>IF(COUNTA(E103,G103,I103,K103)&lt;4,"",F103*Parâmetros!$B$7+H103*Parâmetros!$B$8+J103*Parâmetros!$B$9+L103*Parâmetros!$B$10)</f>
        <v/>
      </c>
      <c r="N103" s="16" t="str">
        <f>IF(M103="","",IFERROR(VLOOKUP(M103,Parâmetros!$M$15:$O$17,2,TRUE),""))</f>
        <v/>
      </c>
      <c r="O103" s="18" t="str">
        <f>IF(N103="","",VLOOKUP(N103,Parâmetros!$N$15:$O$17,2,FALSE))</f>
        <v/>
      </c>
      <c r="P103" s="18" t="str">
        <f>IF(O103="","",O103*VLOOKUP(N103,Parâmetros!$N$15:$P$17,3,FALSE))</f>
        <v/>
      </c>
      <c r="Q103" s="18" t="str">
        <f>IF(O103="","",O103*VLOOKUP(N103,Parâmetros!$N$15:$Q$17,4,FALSE))</f>
        <v/>
      </c>
      <c r="R103" s="15"/>
    </row>
    <row r="104" spans="1:18">
      <c r="A104" s="15"/>
      <c r="B104" s="15"/>
      <c r="C104" s="15"/>
      <c r="D104" s="15"/>
      <c r="E104" s="15"/>
      <c r="F104" s="16" t="str">
        <f>IFERROR(VLOOKUP(E104,Parâmetros!$A$15:$B$18,2,FALSE),"")</f>
        <v/>
      </c>
      <c r="G104" s="16"/>
      <c r="H104" s="16" t="str">
        <f>IFERROR(VLOOKUP(G104,Parâmetros!$D$15:$E$18,2,FALSE),"")</f>
        <v/>
      </c>
      <c r="I104" s="16"/>
      <c r="J104" s="16" t="str">
        <f>IFERROR(VLOOKUP(I104,Parâmetros!$G$15:$H$18,2,FALSE),"")</f>
        <v/>
      </c>
      <c r="K104" s="16"/>
      <c r="L104" s="16" t="str">
        <f>IFERROR(VLOOKUP(K104,Parâmetros!$J$15:$K$18,2,FALSE),"")</f>
        <v/>
      </c>
      <c r="M104" s="17" t="str">
        <f>IF(COUNTA(E104,G104,I104,K104)&lt;4,"",F104*Parâmetros!$B$7+H104*Parâmetros!$B$8+J104*Parâmetros!$B$9+L104*Parâmetros!$B$10)</f>
        <v/>
      </c>
      <c r="N104" s="16" t="str">
        <f>IF(M104="","",IFERROR(VLOOKUP(M104,Parâmetros!$M$15:$O$17,2,TRUE),""))</f>
        <v/>
      </c>
      <c r="O104" s="18" t="str">
        <f>IF(N104="","",VLOOKUP(N104,Parâmetros!$N$15:$O$17,2,FALSE))</f>
        <v/>
      </c>
      <c r="P104" s="18" t="str">
        <f>IF(O104="","",O104*VLOOKUP(N104,Parâmetros!$N$15:$P$17,3,FALSE))</f>
        <v/>
      </c>
      <c r="Q104" s="18" t="str">
        <f>IF(O104="","",O104*VLOOKUP(N104,Parâmetros!$N$15:$Q$17,4,FALSE))</f>
        <v/>
      </c>
      <c r="R104" s="15"/>
    </row>
    <row r="105" spans="1:18">
      <c r="A105" s="15"/>
      <c r="B105" s="15"/>
      <c r="C105" s="15"/>
      <c r="D105" s="15"/>
      <c r="E105" s="15"/>
      <c r="F105" s="16" t="str">
        <f>IFERROR(VLOOKUP(E105,Parâmetros!$A$15:$B$18,2,FALSE),"")</f>
        <v/>
      </c>
      <c r="G105" s="16"/>
      <c r="H105" s="16" t="str">
        <f>IFERROR(VLOOKUP(G105,Parâmetros!$D$15:$E$18,2,FALSE),"")</f>
        <v/>
      </c>
      <c r="I105" s="16"/>
      <c r="J105" s="16" t="str">
        <f>IFERROR(VLOOKUP(I105,Parâmetros!$G$15:$H$18,2,FALSE),"")</f>
        <v/>
      </c>
      <c r="K105" s="16"/>
      <c r="L105" s="16" t="str">
        <f>IFERROR(VLOOKUP(K105,Parâmetros!$J$15:$K$18,2,FALSE),"")</f>
        <v/>
      </c>
      <c r="M105" s="17" t="str">
        <f>IF(COUNTA(E105,G105,I105,K105)&lt;4,"",F105*Parâmetros!$B$7+H105*Parâmetros!$B$8+J105*Parâmetros!$B$9+L105*Parâmetros!$B$10)</f>
        <v/>
      </c>
      <c r="N105" s="16" t="str">
        <f>IF(M105="","",IFERROR(VLOOKUP(M105,Parâmetros!$M$15:$O$17,2,TRUE),""))</f>
        <v/>
      </c>
      <c r="O105" s="18" t="str">
        <f>IF(N105="","",VLOOKUP(N105,Parâmetros!$N$15:$O$17,2,FALSE))</f>
        <v/>
      </c>
      <c r="P105" s="18" t="str">
        <f>IF(O105="","",O105*VLOOKUP(N105,Parâmetros!$N$15:$P$17,3,FALSE))</f>
        <v/>
      </c>
      <c r="Q105" s="18" t="str">
        <f>IF(O105="","",O105*VLOOKUP(N105,Parâmetros!$N$15:$Q$17,4,FALSE))</f>
        <v/>
      </c>
      <c r="R105" s="15"/>
    </row>
    <row r="106" spans="1:18">
      <c r="A106" s="15"/>
      <c r="B106" s="15"/>
      <c r="C106" s="15"/>
      <c r="D106" s="15"/>
      <c r="E106" s="15"/>
      <c r="F106" s="16" t="str">
        <f>IFERROR(VLOOKUP(E106,Parâmetros!$A$15:$B$18,2,FALSE),"")</f>
        <v/>
      </c>
      <c r="G106" s="16"/>
      <c r="H106" s="16" t="str">
        <f>IFERROR(VLOOKUP(G106,Parâmetros!$D$15:$E$18,2,FALSE),"")</f>
        <v/>
      </c>
      <c r="I106" s="16"/>
      <c r="J106" s="16" t="str">
        <f>IFERROR(VLOOKUP(I106,Parâmetros!$G$15:$H$18,2,FALSE),"")</f>
        <v/>
      </c>
      <c r="K106" s="16"/>
      <c r="L106" s="16" t="str">
        <f>IFERROR(VLOOKUP(K106,Parâmetros!$J$15:$K$18,2,FALSE),"")</f>
        <v/>
      </c>
      <c r="M106" s="17" t="str">
        <f>IF(COUNTA(E106,G106,I106,K106)&lt;4,"",F106*Parâmetros!$B$7+H106*Parâmetros!$B$8+J106*Parâmetros!$B$9+L106*Parâmetros!$B$10)</f>
        <v/>
      </c>
      <c r="N106" s="16" t="str">
        <f>IF(M106="","",IFERROR(VLOOKUP(M106,Parâmetros!$M$15:$O$17,2,TRUE),""))</f>
        <v/>
      </c>
      <c r="O106" s="18" t="str">
        <f>IF(N106="","",VLOOKUP(N106,Parâmetros!$N$15:$O$17,2,FALSE))</f>
        <v/>
      </c>
      <c r="P106" s="18" t="str">
        <f>IF(O106="","",O106*VLOOKUP(N106,Parâmetros!$N$15:$P$17,3,FALSE))</f>
        <v/>
      </c>
      <c r="Q106" s="18" t="str">
        <f>IF(O106="","",O106*VLOOKUP(N106,Parâmetros!$N$15:$Q$17,4,FALSE))</f>
        <v/>
      </c>
      <c r="R106" s="15"/>
    </row>
    <row r="107" spans="1:18">
      <c r="A107" s="15"/>
      <c r="B107" s="15"/>
      <c r="C107" s="15"/>
      <c r="D107" s="15"/>
      <c r="E107" s="15"/>
      <c r="F107" s="16" t="str">
        <f>IFERROR(VLOOKUP(E107,Parâmetros!$A$15:$B$18,2,FALSE),"")</f>
        <v/>
      </c>
      <c r="G107" s="16"/>
      <c r="H107" s="16" t="str">
        <f>IFERROR(VLOOKUP(G107,Parâmetros!$D$15:$E$18,2,FALSE),"")</f>
        <v/>
      </c>
      <c r="I107" s="16"/>
      <c r="J107" s="16" t="str">
        <f>IFERROR(VLOOKUP(I107,Parâmetros!$G$15:$H$18,2,FALSE),"")</f>
        <v/>
      </c>
      <c r="K107" s="16"/>
      <c r="L107" s="16" t="str">
        <f>IFERROR(VLOOKUP(K107,Parâmetros!$J$15:$K$18,2,FALSE),"")</f>
        <v/>
      </c>
      <c r="M107" s="17" t="str">
        <f>IF(COUNTA(E107,G107,I107,K107)&lt;4,"",F107*Parâmetros!$B$7+H107*Parâmetros!$B$8+J107*Parâmetros!$B$9+L107*Parâmetros!$B$10)</f>
        <v/>
      </c>
      <c r="N107" s="16" t="str">
        <f>IF(M107="","",IFERROR(VLOOKUP(M107,Parâmetros!$M$15:$O$17,2,TRUE),""))</f>
        <v/>
      </c>
      <c r="O107" s="18" t="str">
        <f>IF(N107="","",VLOOKUP(N107,Parâmetros!$N$15:$O$17,2,FALSE))</f>
        <v/>
      </c>
      <c r="P107" s="18" t="str">
        <f>IF(O107="","",O107*VLOOKUP(N107,Parâmetros!$N$15:$P$17,3,FALSE))</f>
        <v/>
      </c>
      <c r="Q107" s="18" t="str">
        <f>IF(O107="","",O107*VLOOKUP(N107,Parâmetros!$N$15:$Q$17,4,FALSE))</f>
        <v/>
      </c>
      <c r="R107" s="15"/>
    </row>
    <row r="108" spans="1:18">
      <c r="A108" s="15"/>
      <c r="B108" s="15"/>
      <c r="C108" s="15"/>
      <c r="D108" s="15"/>
      <c r="E108" s="15"/>
      <c r="F108" s="16" t="str">
        <f>IFERROR(VLOOKUP(E108,Parâmetros!$A$15:$B$18,2,FALSE),"")</f>
        <v/>
      </c>
      <c r="G108" s="16"/>
      <c r="H108" s="16" t="str">
        <f>IFERROR(VLOOKUP(G108,Parâmetros!$D$15:$E$18,2,FALSE),"")</f>
        <v/>
      </c>
      <c r="I108" s="16"/>
      <c r="J108" s="16" t="str">
        <f>IFERROR(VLOOKUP(I108,Parâmetros!$G$15:$H$18,2,FALSE),"")</f>
        <v/>
      </c>
      <c r="K108" s="16"/>
      <c r="L108" s="16" t="str">
        <f>IFERROR(VLOOKUP(K108,Parâmetros!$J$15:$K$18,2,FALSE),"")</f>
        <v/>
      </c>
      <c r="M108" s="17" t="str">
        <f>IF(COUNTA(E108,G108,I108,K108)&lt;4,"",F108*Parâmetros!$B$7+H108*Parâmetros!$B$8+J108*Parâmetros!$B$9+L108*Parâmetros!$B$10)</f>
        <v/>
      </c>
      <c r="N108" s="16" t="str">
        <f>IF(M108="","",IFERROR(VLOOKUP(M108,Parâmetros!$M$15:$O$17,2,TRUE),""))</f>
        <v/>
      </c>
      <c r="O108" s="18" t="str">
        <f>IF(N108="","",VLOOKUP(N108,Parâmetros!$N$15:$O$17,2,FALSE))</f>
        <v/>
      </c>
      <c r="P108" s="18" t="str">
        <f>IF(O108="","",O108*VLOOKUP(N108,Parâmetros!$N$15:$P$17,3,FALSE))</f>
        <v/>
      </c>
      <c r="Q108" s="18" t="str">
        <f>IF(O108="","",O108*VLOOKUP(N108,Parâmetros!$N$15:$Q$17,4,FALSE))</f>
        <v/>
      </c>
      <c r="R108" s="15"/>
    </row>
    <row r="109" spans="1:18">
      <c r="A109" s="15"/>
      <c r="B109" s="15"/>
      <c r="C109" s="15"/>
      <c r="D109" s="15"/>
      <c r="E109" s="15"/>
      <c r="F109" s="16" t="str">
        <f>IFERROR(VLOOKUP(E109,Parâmetros!$A$15:$B$18,2,FALSE),"")</f>
        <v/>
      </c>
      <c r="G109" s="16"/>
      <c r="H109" s="16" t="str">
        <f>IFERROR(VLOOKUP(G109,Parâmetros!$D$15:$E$18,2,FALSE),"")</f>
        <v/>
      </c>
      <c r="I109" s="16"/>
      <c r="J109" s="16" t="str">
        <f>IFERROR(VLOOKUP(I109,Parâmetros!$G$15:$H$18,2,FALSE),"")</f>
        <v/>
      </c>
      <c r="K109" s="16"/>
      <c r="L109" s="16" t="str">
        <f>IFERROR(VLOOKUP(K109,Parâmetros!$J$15:$K$18,2,FALSE),"")</f>
        <v/>
      </c>
      <c r="M109" s="17" t="str">
        <f>IF(COUNTA(E109,G109,I109,K109)&lt;4,"",F109*Parâmetros!$B$7+H109*Parâmetros!$B$8+J109*Parâmetros!$B$9+L109*Parâmetros!$B$10)</f>
        <v/>
      </c>
      <c r="N109" s="16" t="str">
        <f>IF(M109="","",IFERROR(VLOOKUP(M109,Parâmetros!$M$15:$O$17,2,TRUE),""))</f>
        <v/>
      </c>
      <c r="O109" s="18" t="str">
        <f>IF(N109="","",VLOOKUP(N109,Parâmetros!$N$15:$O$17,2,FALSE))</f>
        <v/>
      </c>
      <c r="P109" s="18" t="str">
        <f>IF(O109="","",O109*VLOOKUP(N109,Parâmetros!$N$15:$P$17,3,FALSE))</f>
        <v/>
      </c>
      <c r="Q109" s="18" t="str">
        <f>IF(O109="","",O109*VLOOKUP(N109,Parâmetros!$N$15:$Q$17,4,FALSE))</f>
        <v/>
      </c>
      <c r="R109" s="15"/>
    </row>
    <row r="110" spans="1:18">
      <c r="A110" s="15"/>
      <c r="B110" s="15"/>
      <c r="C110" s="15"/>
      <c r="D110" s="15"/>
      <c r="E110" s="15"/>
      <c r="F110" s="16" t="str">
        <f>IFERROR(VLOOKUP(E110,Parâmetros!$A$15:$B$18,2,FALSE),"")</f>
        <v/>
      </c>
      <c r="G110" s="16"/>
      <c r="H110" s="16" t="str">
        <f>IFERROR(VLOOKUP(G110,Parâmetros!$D$15:$E$18,2,FALSE),"")</f>
        <v/>
      </c>
      <c r="I110" s="16"/>
      <c r="J110" s="16" t="str">
        <f>IFERROR(VLOOKUP(I110,Parâmetros!$G$15:$H$18,2,FALSE),"")</f>
        <v/>
      </c>
      <c r="K110" s="16"/>
      <c r="L110" s="16" t="str">
        <f>IFERROR(VLOOKUP(K110,Parâmetros!$J$15:$K$18,2,FALSE),"")</f>
        <v/>
      </c>
      <c r="M110" s="17" t="str">
        <f>IF(COUNTA(E110,G110,I110,K110)&lt;4,"",F110*Parâmetros!$B$7+H110*Parâmetros!$B$8+J110*Parâmetros!$B$9+L110*Parâmetros!$B$10)</f>
        <v/>
      </c>
      <c r="N110" s="16" t="str">
        <f>IF(M110="","",IFERROR(VLOOKUP(M110,Parâmetros!$M$15:$O$17,2,TRUE),""))</f>
        <v/>
      </c>
      <c r="O110" s="18" t="str">
        <f>IF(N110="","",VLOOKUP(N110,Parâmetros!$N$15:$O$17,2,FALSE))</f>
        <v/>
      </c>
      <c r="P110" s="18" t="str">
        <f>IF(O110="","",O110*VLOOKUP(N110,Parâmetros!$N$15:$P$17,3,FALSE))</f>
        <v/>
      </c>
      <c r="Q110" s="18" t="str">
        <f>IF(O110="","",O110*VLOOKUP(N110,Parâmetros!$N$15:$Q$17,4,FALSE))</f>
        <v/>
      </c>
      <c r="R110" s="15"/>
    </row>
    <row r="111" spans="1:18">
      <c r="A111" s="15"/>
      <c r="B111" s="15"/>
      <c r="C111" s="15"/>
      <c r="D111" s="15"/>
      <c r="E111" s="15"/>
      <c r="F111" s="16" t="str">
        <f>IFERROR(VLOOKUP(E111,Parâmetros!$A$15:$B$18,2,FALSE),"")</f>
        <v/>
      </c>
      <c r="G111" s="16"/>
      <c r="H111" s="16" t="str">
        <f>IFERROR(VLOOKUP(G111,Parâmetros!$D$15:$E$18,2,FALSE),"")</f>
        <v/>
      </c>
      <c r="I111" s="16"/>
      <c r="J111" s="16" t="str">
        <f>IFERROR(VLOOKUP(I111,Parâmetros!$G$15:$H$18,2,FALSE),"")</f>
        <v/>
      </c>
      <c r="K111" s="16"/>
      <c r="L111" s="16" t="str">
        <f>IFERROR(VLOOKUP(K111,Parâmetros!$J$15:$K$18,2,FALSE),"")</f>
        <v/>
      </c>
      <c r="M111" s="17" t="str">
        <f>IF(COUNTA(E111,G111,I111,K111)&lt;4,"",F111*Parâmetros!$B$7+H111*Parâmetros!$B$8+J111*Parâmetros!$B$9+L111*Parâmetros!$B$10)</f>
        <v/>
      </c>
      <c r="N111" s="16" t="str">
        <f>IF(M111="","",IFERROR(VLOOKUP(M111,Parâmetros!$M$15:$O$17,2,TRUE),""))</f>
        <v/>
      </c>
      <c r="O111" s="18" t="str">
        <f>IF(N111="","",VLOOKUP(N111,Parâmetros!$N$15:$O$17,2,FALSE))</f>
        <v/>
      </c>
      <c r="P111" s="18" t="str">
        <f>IF(O111="","",O111*VLOOKUP(N111,Parâmetros!$N$15:$P$17,3,FALSE))</f>
        <v/>
      </c>
      <c r="Q111" s="18" t="str">
        <f>IF(O111="","",O111*VLOOKUP(N111,Parâmetros!$N$15:$Q$17,4,FALSE))</f>
        <v/>
      </c>
      <c r="R111" s="15"/>
    </row>
    <row r="112" spans="1:18">
      <c r="A112" s="15"/>
      <c r="B112" s="15"/>
      <c r="C112" s="15"/>
      <c r="D112" s="15"/>
      <c r="E112" s="15"/>
      <c r="F112" s="16" t="str">
        <f>IFERROR(VLOOKUP(E112,Parâmetros!$A$15:$B$18,2,FALSE),"")</f>
        <v/>
      </c>
      <c r="G112" s="16"/>
      <c r="H112" s="16" t="str">
        <f>IFERROR(VLOOKUP(G112,Parâmetros!$D$15:$E$18,2,FALSE),"")</f>
        <v/>
      </c>
      <c r="I112" s="16"/>
      <c r="J112" s="16" t="str">
        <f>IFERROR(VLOOKUP(I112,Parâmetros!$G$15:$H$18,2,FALSE),"")</f>
        <v/>
      </c>
      <c r="K112" s="16"/>
      <c r="L112" s="16" t="str">
        <f>IFERROR(VLOOKUP(K112,Parâmetros!$J$15:$K$18,2,FALSE),"")</f>
        <v/>
      </c>
      <c r="M112" s="17" t="str">
        <f>IF(COUNTA(E112,G112,I112,K112)&lt;4,"",F112*Parâmetros!$B$7+H112*Parâmetros!$B$8+J112*Parâmetros!$B$9+L112*Parâmetros!$B$10)</f>
        <v/>
      </c>
      <c r="N112" s="16" t="str">
        <f>IF(M112="","",IFERROR(VLOOKUP(M112,Parâmetros!$M$15:$O$17,2,TRUE),""))</f>
        <v/>
      </c>
      <c r="O112" s="18" t="str">
        <f>IF(N112="","",VLOOKUP(N112,Parâmetros!$N$15:$O$17,2,FALSE))</f>
        <v/>
      </c>
      <c r="P112" s="18" t="str">
        <f>IF(O112="","",O112*VLOOKUP(N112,Parâmetros!$N$15:$P$17,3,FALSE))</f>
        <v/>
      </c>
      <c r="Q112" s="18" t="str">
        <f>IF(O112="","",O112*VLOOKUP(N112,Parâmetros!$N$15:$Q$17,4,FALSE))</f>
        <v/>
      </c>
      <c r="R112" s="15"/>
    </row>
    <row r="113" spans="1:18">
      <c r="A113" s="15"/>
      <c r="B113" s="15"/>
      <c r="C113" s="15"/>
      <c r="D113" s="15"/>
      <c r="E113" s="15"/>
      <c r="F113" s="16" t="str">
        <f>IFERROR(VLOOKUP(E113,Parâmetros!$A$15:$B$18,2,FALSE),"")</f>
        <v/>
      </c>
      <c r="G113" s="16"/>
      <c r="H113" s="16" t="str">
        <f>IFERROR(VLOOKUP(G113,Parâmetros!$D$15:$E$18,2,FALSE),"")</f>
        <v/>
      </c>
      <c r="I113" s="16"/>
      <c r="J113" s="16" t="str">
        <f>IFERROR(VLOOKUP(I113,Parâmetros!$G$15:$H$18,2,FALSE),"")</f>
        <v/>
      </c>
      <c r="K113" s="16"/>
      <c r="L113" s="16" t="str">
        <f>IFERROR(VLOOKUP(K113,Parâmetros!$J$15:$K$18,2,FALSE),"")</f>
        <v/>
      </c>
      <c r="M113" s="17" t="str">
        <f>IF(COUNTA(E113,G113,I113,K113)&lt;4,"",F113*Parâmetros!$B$7+H113*Parâmetros!$B$8+J113*Parâmetros!$B$9+L113*Parâmetros!$B$10)</f>
        <v/>
      </c>
      <c r="N113" s="16" t="str">
        <f>IF(M113="","",IFERROR(VLOOKUP(M113,Parâmetros!$M$15:$O$17,2,TRUE),""))</f>
        <v/>
      </c>
      <c r="O113" s="18" t="str">
        <f>IF(N113="","",VLOOKUP(N113,Parâmetros!$N$15:$O$17,2,FALSE))</f>
        <v/>
      </c>
      <c r="P113" s="18" t="str">
        <f>IF(O113="","",O113*VLOOKUP(N113,Parâmetros!$N$15:$P$17,3,FALSE))</f>
        <v/>
      </c>
      <c r="Q113" s="18" t="str">
        <f>IF(O113="","",O113*VLOOKUP(N113,Parâmetros!$N$15:$Q$17,4,FALSE))</f>
        <v/>
      </c>
      <c r="R113" s="15"/>
    </row>
    <row r="114" spans="1:18">
      <c r="A114" s="15"/>
      <c r="B114" s="15"/>
      <c r="C114" s="15"/>
      <c r="D114" s="15"/>
      <c r="E114" s="15"/>
      <c r="F114" s="16" t="str">
        <f>IFERROR(VLOOKUP(E114,Parâmetros!$A$15:$B$18,2,FALSE),"")</f>
        <v/>
      </c>
      <c r="G114" s="16"/>
      <c r="H114" s="16" t="str">
        <f>IFERROR(VLOOKUP(G114,Parâmetros!$D$15:$E$18,2,FALSE),"")</f>
        <v/>
      </c>
      <c r="I114" s="16"/>
      <c r="J114" s="16" t="str">
        <f>IFERROR(VLOOKUP(I114,Parâmetros!$G$15:$H$18,2,FALSE),"")</f>
        <v/>
      </c>
      <c r="K114" s="16"/>
      <c r="L114" s="16" t="str">
        <f>IFERROR(VLOOKUP(K114,Parâmetros!$J$15:$K$18,2,FALSE),"")</f>
        <v/>
      </c>
      <c r="M114" s="17" t="str">
        <f>IF(COUNTA(E114,G114,I114,K114)&lt;4,"",F114*Parâmetros!$B$7+H114*Parâmetros!$B$8+J114*Parâmetros!$B$9+L114*Parâmetros!$B$10)</f>
        <v/>
      </c>
      <c r="N114" s="16" t="str">
        <f>IF(M114="","",IFERROR(VLOOKUP(M114,Parâmetros!$M$15:$O$17,2,TRUE),""))</f>
        <v/>
      </c>
      <c r="O114" s="18" t="str">
        <f>IF(N114="","",VLOOKUP(N114,Parâmetros!$N$15:$O$17,2,FALSE))</f>
        <v/>
      </c>
      <c r="P114" s="18" t="str">
        <f>IF(O114="","",O114*VLOOKUP(N114,Parâmetros!$N$15:$P$17,3,FALSE))</f>
        <v/>
      </c>
      <c r="Q114" s="18" t="str">
        <f>IF(O114="","",O114*VLOOKUP(N114,Parâmetros!$N$15:$Q$17,4,FALSE))</f>
        <v/>
      </c>
      <c r="R114" s="15"/>
    </row>
    <row r="115" spans="1:18">
      <c r="A115" s="15"/>
      <c r="B115" s="15"/>
      <c r="C115" s="15"/>
      <c r="D115" s="15"/>
      <c r="E115" s="15"/>
      <c r="F115" s="16" t="str">
        <f>IFERROR(VLOOKUP(E115,Parâmetros!$A$15:$B$18,2,FALSE),"")</f>
        <v/>
      </c>
      <c r="G115" s="16"/>
      <c r="H115" s="16" t="str">
        <f>IFERROR(VLOOKUP(G115,Parâmetros!$D$15:$E$18,2,FALSE),"")</f>
        <v/>
      </c>
      <c r="I115" s="16"/>
      <c r="J115" s="16" t="str">
        <f>IFERROR(VLOOKUP(I115,Parâmetros!$G$15:$H$18,2,FALSE),"")</f>
        <v/>
      </c>
      <c r="K115" s="16"/>
      <c r="L115" s="16" t="str">
        <f>IFERROR(VLOOKUP(K115,Parâmetros!$J$15:$K$18,2,FALSE),"")</f>
        <v/>
      </c>
      <c r="M115" s="17" t="str">
        <f>IF(COUNTA(E115,G115,I115,K115)&lt;4,"",F115*Parâmetros!$B$7+H115*Parâmetros!$B$8+J115*Parâmetros!$B$9+L115*Parâmetros!$B$10)</f>
        <v/>
      </c>
      <c r="N115" s="16" t="str">
        <f>IF(M115="","",IFERROR(VLOOKUP(M115,Parâmetros!$M$15:$O$17,2,TRUE),""))</f>
        <v/>
      </c>
      <c r="O115" s="18" t="str">
        <f>IF(N115="","",VLOOKUP(N115,Parâmetros!$N$15:$O$17,2,FALSE))</f>
        <v/>
      </c>
      <c r="P115" s="18" t="str">
        <f>IF(O115="","",O115*VLOOKUP(N115,Parâmetros!$N$15:$P$17,3,FALSE))</f>
        <v/>
      </c>
      <c r="Q115" s="18" t="str">
        <f>IF(O115="","",O115*VLOOKUP(N115,Parâmetros!$N$15:$Q$17,4,FALSE))</f>
        <v/>
      </c>
      <c r="R115" s="15"/>
    </row>
    <row r="116" spans="1:18">
      <c r="A116" s="15"/>
      <c r="B116" s="15"/>
      <c r="C116" s="15"/>
      <c r="D116" s="15"/>
      <c r="E116" s="15"/>
      <c r="F116" s="16" t="str">
        <f>IFERROR(VLOOKUP(E116,Parâmetros!$A$15:$B$18,2,FALSE),"")</f>
        <v/>
      </c>
      <c r="G116" s="16"/>
      <c r="H116" s="16" t="str">
        <f>IFERROR(VLOOKUP(G116,Parâmetros!$D$15:$E$18,2,FALSE),"")</f>
        <v/>
      </c>
      <c r="I116" s="16"/>
      <c r="J116" s="16" t="str">
        <f>IFERROR(VLOOKUP(I116,Parâmetros!$G$15:$H$18,2,FALSE),"")</f>
        <v/>
      </c>
      <c r="K116" s="16"/>
      <c r="L116" s="16" t="str">
        <f>IFERROR(VLOOKUP(K116,Parâmetros!$J$15:$K$18,2,FALSE),"")</f>
        <v/>
      </c>
      <c r="M116" s="17" t="str">
        <f>IF(COUNTA(E116,G116,I116,K116)&lt;4,"",F116*Parâmetros!$B$7+H116*Parâmetros!$B$8+J116*Parâmetros!$B$9+L116*Parâmetros!$B$10)</f>
        <v/>
      </c>
      <c r="N116" s="16" t="str">
        <f>IF(M116="","",IFERROR(VLOOKUP(M116,Parâmetros!$M$15:$O$17,2,TRUE),""))</f>
        <v/>
      </c>
      <c r="O116" s="18" t="str">
        <f>IF(N116="","",VLOOKUP(N116,Parâmetros!$N$15:$O$17,2,FALSE))</f>
        <v/>
      </c>
      <c r="P116" s="18" t="str">
        <f>IF(O116="","",O116*VLOOKUP(N116,Parâmetros!$N$15:$P$17,3,FALSE))</f>
        <v/>
      </c>
      <c r="Q116" s="18" t="str">
        <f>IF(O116="","",O116*VLOOKUP(N116,Parâmetros!$N$15:$Q$17,4,FALSE))</f>
        <v/>
      </c>
      <c r="R116" s="15"/>
    </row>
    <row r="117" spans="1:18">
      <c r="A117" s="15"/>
      <c r="B117" s="15"/>
      <c r="C117" s="15"/>
      <c r="D117" s="15"/>
      <c r="E117" s="15"/>
      <c r="F117" s="16" t="str">
        <f>IFERROR(VLOOKUP(E117,Parâmetros!$A$15:$B$18,2,FALSE),"")</f>
        <v/>
      </c>
      <c r="G117" s="16"/>
      <c r="H117" s="16" t="str">
        <f>IFERROR(VLOOKUP(G117,Parâmetros!$D$15:$E$18,2,FALSE),"")</f>
        <v/>
      </c>
      <c r="I117" s="16"/>
      <c r="J117" s="16" t="str">
        <f>IFERROR(VLOOKUP(I117,Parâmetros!$G$15:$H$18,2,FALSE),"")</f>
        <v/>
      </c>
      <c r="K117" s="16"/>
      <c r="L117" s="16" t="str">
        <f>IFERROR(VLOOKUP(K117,Parâmetros!$J$15:$K$18,2,FALSE),"")</f>
        <v/>
      </c>
      <c r="M117" s="17" t="str">
        <f>IF(COUNTA(E117,G117,I117,K117)&lt;4,"",F117*Parâmetros!$B$7+H117*Parâmetros!$B$8+J117*Parâmetros!$B$9+L117*Parâmetros!$B$10)</f>
        <v/>
      </c>
      <c r="N117" s="16" t="str">
        <f>IF(M117="","",IFERROR(VLOOKUP(M117,Parâmetros!$M$15:$O$17,2,TRUE),""))</f>
        <v/>
      </c>
      <c r="O117" s="18" t="str">
        <f>IF(N117="","",VLOOKUP(N117,Parâmetros!$N$15:$O$17,2,FALSE))</f>
        <v/>
      </c>
      <c r="P117" s="18" t="str">
        <f>IF(O117="","",O117*VLOOKUP(N117,Parâmetros!$N$15:$P$17,3,FALSE))</f>
        <v/>
      </c>
      <c r="Q117" s="18" t="str">
        <f>IF(O117="","",O117*VLOOKUP(N117,Parâmetros!$N$15:$Q$17,4,FALSE))</f>
        <v/>
      </c>
      <c r="R117" s="15"/>
    </row>
    <row r="118" spans="1:18">
      <c r="A118" s="15"/>
      <c r="B118" s="15"/>
      <c r="C118" s="15"/>
      <c r="D118" s="15"/>
      <c r="E118" s="15"/>
      <c r="F118" s="16" t="str">
        <f>IFERROR(VLOOKUP(E118,Parâmetros!$A$15:$B$18,2,FALSE),"")</f>
        <v/>
      </c>
      <c r="G118" s="16"/>
      <c r="H118" s="16" t="str">
        <f>IFERROR(VLOOKUP(G118,Parâmetros!$D$15:$E$18,2,FALSE),"")</f>
        <v/>
      </c>
      <c r="I118" s="16"/>
      <c r="J118" s="16" t="str">
        <f>IFERROR(VLOOKUP(I118,Parâmetros!$G$15:$H$18,2,FALSE),"")</f>
        <v/>
      </c>
      <c r="K118" s="16"/>
      <c r="L118" s="16" t="str">
        <f>IFERROR(VLOOKUP(K118,Parâmetros!$J$15:$K$18,2,FALSE),"")</f>
        <v/>
      </c>
      <c r="M118" s="17" t="str">
        <f>IF(COUNTA(E118,G118,I118,K118)&lt;4,"",F118*Parâmetros!$B$7+H118*Parâmetros!$B$8+J118*Parâmetros!$B$9+L118*Parâmetros!$B$10)</f>
        <v/>
      </c>
      <c r="N118" s="16" t="str">
        <f>IF(M118="","",IFERROR(VLOOKUP(M118,Parâmetros!$M$15:$O$17,2,TRUE),""))</f>
        <v/>
      </c>
      <c r="O118" s="18" t="str">
        <f>IF(N118="","",VLOOKUP(N118,Parâmetros!$N$15:$O$17,2,FALSE))</f>
        <v/>
      </c>
      <c r="P118" s="18" t="str">
        <f>IF(O118="","",O118*VLOOKUP(N118,Parâmetros!$N$15:$P$17,3,FALSE))</f>
        <v/>
      </c>
      <c r="Q118" s="18" t="str">
        <f>IF(O118="","",O118*VLOOKUP(N118,Parâmetros!$N$15:$Q$17,4,FALSE))</f>
        <v/>
      </c>
      <c r="R118" s="15"/>
    </row>
    <row r="119" spans="1:18">
      <c r="A119" s="15"/>
      <c r="B119" s="15"/>
      <c r="C119" s="15"/>
      <c r="D119" s="15"/>
      <c r="E119" s="15"/>
      <c r="F119" s="16" t="str">
        <f>IFERROR(VLOOKUP(E119,Parâmetros!$A$15:$B$18,2,FALSE),"")</f>
        <v/>
      </c>
      <c r="G119" s="16"/>
      <c r="H119" s="16" t="str">
        <f>IFERROR(VLOOKUP(G119,Parâmetros!$D$15:$E$18,2,FALSE),"")</f>
        <v/>
      </c>
      <c r="I119" s="16"/>
      <c r="J119" s="16" t="str">
        <f>IFERROR(VLOOKUP(I119,Parâmetros!$G$15:$H$18,2,FALSE),"")</f>
        <v/>
      </c>
      <c r="K119" s="16"/>
      <c r="L119" s="16" t="str">
        <f>IFERROR(VLOOKUP(K119,Parâmetros!$J$15:$K$18,2,FALSE),"")</f>
        <v/>
      </c>
      <c r="M119" s="17" t="str">
        <f>IF(COUNTA(E119,G119,I119,K119)&lt;4,"",F119*Parâmetros!$B$7+H119*Parâmetros!$B$8+J119*Parâmetros!$B$9+L119*Parâmetros!$B$10)</f>
        <v/>
      </c>
      <c r="N119" s="16" t="str">
        <f>IF(M119="","",IFERROR(VLOOKUP(M119,Parâmetros!$M$15:$O$17,2,TRUE),""))</f>
        <v/>
      </c>
      <c r="O119" s="18" t="str">
        <f>IF(N119="","",VLOOKUP(N119,Parâmetros!$N$15:$O$17,2,FALSE))</f>
        <v/>
      </c>
      <c r="P119" s="18" t="str">
        <f>IF(O119="","",O119*VLOOKUP(N119,Parâmetros!$N$15:$P$17,3,FALSE))</f>
        <v/>
      </c>
      <c r="Q119" s="18" t="str">
        <f>IF(O119="","",O119*VLOOKUP(N119,Parâmetros!$N$15:$Q$17,4,FALSE))</f>
        <v/>
      </c>
      <c r="R119" s="15"/>
    </row>
    <row r="120" spans="1:18">
      <c r="A120" s="15"/>
      <c r="B120" s="15"/>
      <c r="C120" s="15"/>
      <c r="D120" s="15"/>
      <c r="E120" s="15"/>
      <c r="F120" s="16" t="str">
        <f>IFERROR(VLOOKUP(E120,Parâmetros!$A$15:$B$18,2,FALSE),"")</f>
        <v/>
      </c>
      <c r="G120" s="16"/>
      <c r="H120" s="16" t="str">
        <f>IFERROR(VLOOKUP(G120,Parâmetros!$D$15:$E$18,2,FALSE),"")</f>
        <v/>
      </c>
      <c r="I120" s="16"/>
      <c r="J120" s="16" t="str">
        <f>IFERROR(VLOOKUP(I120,Parâmetros!$G$15:$H$18,2,FALSE),"")</f>
        <v/>
      </c>
      <c r="K120" s="16"/>
      <c r="L120" s="16" t="str">
        <f>IFERROR(VLOOKUP(K120,Parâmetros!$J$15:$K$18,2,FALSE),"")</f>
        <v/>
      </c>
      <c r="M120" s="17" t="str">
        <f>IF(COUNTA(E120,G120,I120,K120)&lt;4,"",F120*Parâmetros!$B$7+H120*Parâmetros!$B$8+J120*Parâmetros!$B$9+L120*Parâmetros!$B$10)</f>
        <v/>
      </c>
      <c r="N120" s="16" t="str">
        <f>IF(M120="","",IFERROR(VLOOKUP(M120,Parâmetros!$M$15:$O$17,2,TRUE),""))</f>
        <v/>
      </c>
      <c r="O120" s="18" t="str">
        <f>IF(N120="","",VLOOKUP(N120,Parâmetros!$N$15:$O$17,2,FALSE))</f>
        <v/>
      </c>
      <c r="P120" s="18" t="str">
        <f>IF(O120="","",O120*VLOOKUP(N120,Parâmetros!$N$15:$P$17,3,FALSE))</f>
        <v/>
      </c>
      <c r="Q120" s="18" t="str">
        <f>IF(O120="","",O120*VLOOKUP(N120,Parâmetros!$N$15:$Q$17,4,FALSE))</f>
        <v/>
      </c>
      <c r="R120" s="15"/>
    </row>
    <row r="121" spans="1:18">
      <c r="A121" s="15"/>
      <c r="B121" s="15"/>
      <c r="C121" s="15"/>
      <c r="D121" s="15"/>
      <c r="E121" s="15"/>
      <c r="F121" s="16" t="str">
        <f>IFERROR(VLOOKUP(E121,Parâmetros!$A$15:$B$18,2,FALSE),"")</f>
        <v/>
      </c>
      <c r="G121" s="16"/>
      <c r="H121" s="16" t="str">
        <f>IFERROR(VLOOKUP(G121,Parâmetros!$D$15:$E$18,2,FALSE),"")</f>
        <v/>
      </c>
      <c r="I121" s="16"/>
      <c r="J121" s="16" t="str">
        <f>IFERROR(VLOOKUP(I121,Parâmetros!$G$15:$H$18,2,FALSE),"")</f>
        <v/>
      </c>
      <c r="K121" s="16"/>
      <c r="L121" s="16" t="str">
        <f>IFERROR(VLOOKUP(K121,Parâmetros!$J$15:$K$18,2,FALSE),"")</f>
        <v/>
      </c>
      <c r="M121" s="17" t="str">
        <f>IF(COUNTA(E121,G121,I121,K121)&lt;4,"",F121*Parâmetros!$B$7+H121*Parâmetros!$B$8+J121*Parâmetros!$B$9+L121*Parâmetros!$B$10)</f>
        <v/>
      </c>
      <c r="N121" s="16" t="str">
        <f>IF(M121="","",IFERROR(VLOOKUP(M121,Parâmetros!$M$15:$O$17,2,TRUE),""))</f>
        <v/>
      </c>
      <c r="O121" s="18" t="str">
        <f>IF(N121="","",VLOOKUP(N121,Parâmetros!$N$15:$O$17,2,FALSE))</f>
        <v/>
      </c>
      <c r="P121" s="18" t="str">
        <f>IF(O121="","",O121*VLOOKUP(N121,Parâmetros!$N$15:$P$17,3,FALSE))</f>
        <v/>
      </c>
      <c r="Q121" s="18" t="str">
        <f>IF(O121="","",O121*VLOOKUP(N121,Parâmetros!$N$15:$Q$17,4,FALSE))</f>
        <v/>
      </c>
      <c r="R121" s="15"/>
    </row>
    <row r="122" spans="1:18">
      <c r="A122" s="15"/>
      <c r="B122" s="15"/>
      <c r="C122" s="15"/>
      <c r="D122" s="15"/>
      <c r="E122" s="15"/>
      <c r="F122" s="16" t="str">
        <f>IFERROR(VLOOKUP(E122,Parâmetros!$A$15:$B$18,2,FALSE),"")</f>
        <v/>
      </c>
      <c r="G122" s="16"/>
      <c r="H122" s="16" t="str">
        <f>IFERROR(VLOOKUP(G122,Parâmetros!$D$15:$E$18,2,FALSE),"")</f>
        <v/>
      </c>
      <c r="I122" s="16"/>
      <c r="J122" s="16" t="str">
        <f>IFERROR(VLOOKUP(I122,Parâmetros!$G$15:$H$18,2,FALSE),"")</f>
        <v/>
      </c>
      <c r="K122" s="16"/>
      <c r="L122" s="16" t="str">
        <f>IFERROR(VLOOKUP(K122,Parâmetros!$J$15:$K$18,2,FALSE),"")</f>
        <v/>
      </c>
      <c r="M122" s="17" t="str">
        <f>IF(COUNTA(E122,G122,I122,K122)&lt;4,"",F122*Parâmetros!$B$7+H122*Parâmetros!$B$8+J122*Parâmetros!$B$9+L122*Parâmetros!$B$10)</f>
        <v/>
      </c>
      <c r="N122" s="16" t="str">
        <f>IF(M122="","",IFERROR(VLOOKUP(M122,Parâmetros!$M$15:$O$17,2,TRUE),""))</f>
        <v/>
      </c>
      <c r="O122" s="18" t="str">
        <f>IF(N122="","",VLOOKUP(N122,Parâmetros!$N$15:$O$17,2,FALSE))</f>
        <v/>
      </c>
      <c r="P122" s="18" t="str">
        <f>IF(O122="","",O122*VLOOKUP(N122,Parâmetros!$N$15:$P$17,3,FALSE))</f>
        <v/>
      </c>
      <c r="Q122" s="18" t="str">
        <f>IF(O122="","",O122*VLOOKUP(N122,Parâmetros!$N$15:$Q$17,4,FALSE))</f>
        <v/>
      </c>
      <c r="R122" s="15"/>
    </row>
    <row r="123" spans="1:18">
      <c r="A123" s="15"/>
      <c r="B123" s="15"/>
      <c r="C123" s="15"/>
      <c r="D123" s="15"/>
      <c r="E123" s="15"/>
      <c r="F123" s="16" t="str">
        <f>IFERROR(VLOOKUP(E123,Parâmetros!$A$15:$B$18,2,FALSE),"")</f>
        <v/>
      </c>
      <c r="G123" s="16"/>
      <c r="H123" s="16" t="str">
        <f>IFERROR(VLOOKUP(G123,Parâmetros!$D$15:$E$18,2,FALSE),"")</f>
        <v/>
      </c>
      <c r="I123" s="16"/>
      <c r="J123" s="16" t="str">
        <f>IFERROR(VLOOKUP(I123,Parâmetros!$G$15:$H$18,2,FALSE),"")</f>
        <v/>
      </c>
      <c r="K123" s="16"/>
      <c r="L123" s="16" t="str">
        <f>IFERROR(VLOOKUP(K123,Parâmetros!$J$15:$K$18,2,FALSE),"")</f>
        <v/>
      </c>
      <c r="M123" s="17" t="str">
        <f>IF(COUNTA(E123,G123,I123,K123)&lt;4,"",F123*Parâmetros!$B$7+H123*Parâmetros!$B$8+J123*Parâmetros!$B$9+L123*Parâmetros!$B$10)</f>
        <v/>
      </c>
      <c r="N123" s="16" t="str">
        <f>IF(M123="","",IFERROR(VLOOKUP(M123,Parâmetros!$M$15:$O$17,2,TRUE),""))</f>
        <v/>
      </c>
      <c r="O123" s="18" t="str">
        <f>IF(N123="","",VLOOKUP(N123,Parâmetros!$N$15:$O$17,2,FALSE))</f>
        <v/>
      </c>
      <c r="P123" s="18" t="str">
        <f>IF(O123="","",O123*VLOOKUP(N123,Parâmetros!$N$15:$P$17,3,FALSE))</f>
        <v/>
      </c>
      <c r="Q123" s="18" t="str">
        <f>IF(O123="","",O123*VLOOKUP(N123,Parâmetros!$N$15:$Q$17,4,FALSE))</f>
        <v/>
      </c>
      <c r="R123" s="15"/>
    </row>
    <row r="124" spans="1:18">
      <c r="A124" s="15"/>
      <c r="B124" s="15"/>
      <c r="C124" s="15"/>
      <c r="D124" s="15"/>
      <c r="E124" s="15"/>
      <c r="F124" s="16" t="str">
        <f>IFERROR(VLOOKUP(E124,Parâmetros!$A$15:$B$18,2,FALSE),"")</f>
        <v/>
      </c>
      <c r="G124" s="16"/>
      <c r="H124" s="16" t="str">
        <f>IFERROR(VLOOKUP(G124,Parâmetros!$D$15:$E$18,2,FALSE),"")</f>
        <v/>
      </c>
      <c r="I124" s="16"/>
      <c r="J124" s="16" t="str">
        <f>IFERROR(VLOOKUP(I124,Parâmetros!$G$15:$H$18,2,FALSE),"")</f>
        <v/>
      </c>
      <c r="K124" s="16"/>
      <c r="L124" s="16" t="str">
        <f>IFERROR(VLOOKUP(K124,Parâmetros!$J$15:$K$18,2,FALSE),"")</f>
        <v/>
      </c>
      <c r="M124" s="17" t="str">
        <f>IF(COUNTA(E124,G124,I124,K124)&lt;4,"",F124*Parâmetros!$B$7+H124*Parâmetros!$B$8+J124*Parâmetros!$B$9+L124*Parâmetros!$B$10)</f>
        <v/>
      </c>
      <c r="N124" s="16" t="str">
        <f>IF(M124="","",IFERROR(VLOOKUP(M124,Parâmetros!$M$15:$O$17,2,TRUE),""))</f>
        <v/>
      </c>
      <c r="O124" s="18" t="str">
        <f>IF(N124="","",VLOOKUP(N124,Parâmetros!$N$15:$O$17,2,FALSE))</f>
        <v/>
      </c>
      <c r="P124" s="18" t="str">
        <f>IF(O124="","",O124*VLOOKUP(N124,Parâmetros!$N$15:$P$17,3,FALSE))</f>
        <v/>
      </c>
      <c r="Q124" s="18" t="str">
        <f>IF(O124="","",O124*VLOOKUP(N124,Parâmetros!$N$15:$Q$17,4,FALSE))</f>
        <v/>
      </c>
      <c r="R124" s="15"/>
    </row>
    <row r="125" spans="1:18">
      <c r="A125" s="15"/>
      <c r="B125" s="15"/>
      <c r="C125" s="15"/>
      <c r="D125" s="15"/>
      <c r="E125" s="15"/>
      <c r="F125" s="16" t="str">
        <f>IFERROR(VLOOKUP(E125,Parâmetros!$A$15:$B$18,2,FALSE),"")</f>
        <v/>
      </c>
      <c r="G125" s="16"/>
      <c r="H125" s="16" t="str">
        <f>IFERROR(VLOOKUP(G125,Parâmetros!$D$15:$E$18,2,FALSE),"")</f>
        <v/>
      </c>
      <c r="I125" s="16"/>
      <c r="J125" s="16" t="str">
        <f>IFERROR(VLOOKUP(I125,Parâmetros!$G$15:$H$18,2,FALSE),"")</f>
        <v/>
      </c>
      <c r="K125" s="16"/>
      <c r="L125" s="16" t="str">
        <f>IFERROR(VLOOKUP(K125,Parâmetros!$J$15:$K$18,2,FALSE),"")</f>
        <v/>
      </c>
      <c r="M125" s="17" t="str">
        <f>IF(COUNTA(E125,G125,I125,K125)&lt;4,"",F125*Parâmetros!$B$7+H125*Parâmetros!$B$8+J125*Parâmetros!$B$9+L125*Parâmetros!$B$10)</f>
        <v/>
      </c>
      <c r="N125" s="16" t="str">
        <f>IF(M125="","",IFERROR(VLOOKUP(M125,Parâmetros!$M$15:$O$17,2,TRUE),""))</f>
        <v/>
      </c>
      <c r="O125" s="18" t="str">
        <f>IF(N125="","",VLOOKUP(N125,Parâmetros!$N$15:$O$17,2,FALSE))</f>
        <v/>
      </c>
      <c r="P125" s="18" t="str">
        <f>IF(O125="","",O125*VLOOKUP(N125,Parâmetros!$N$15:$P$17,3,FALSE))</f>
        <v/>
      </c>
      <c r="Q125" s="18" t="str">
        <f>IF(O125="","",O125*VLOOKUP(N125,Parâmetros!$N$15:$Q$17,4,FALSE))</f>
        <v/>
      </c>
      <c r="R125" s="15"/>
    </row>
    <row r="126" spans="1:18">
      <c r="A126" s="15"/>
      <c r="B126" s="15"/>
      <c r="C126" s="15"/>
      <c r="D126" s="15"/>
      <c r="E126" s="15"/>
      <c r="F126" s="16" t="str">
        <f>IFERROR(VLOOKUP(E126,Parâmetros!$A$15:$B$18,2,FALSE),"")</f>
        <v/>
      </c>
      <c r="G126" s="16"/>
      <c r="H126" s="16" t="str">
        <f>IFERROR(VLOOKUP(G126,Parâmetros!$D$15:$E$18,2,FALSE),"")</f>
        <v/>
      </c>
      <c r="I126" s="16"/>
      <c r="J126" s="16" t="str">
        <f>IFERROR(VLOOKUP(I126,Parâmetros!$G$15:$H$18,2,FALSE),"")</f>
        <v/>
      </c>
      <c r="K126" s="16"/>
      <c r="L126" s="16" t="str">
        <f>IFERROR(VLOOKUP(K126,Parâmetros!$J$15:$K$18,2,FALSE),"")</f>
        <v/>
      </c>
      <c r="M126" s="17" t="str">
        <f>IF(COUNTA(E126,G126,I126,K126)&lt;4,"",F126*Parâmetros!$B$7+H126*Parâmetros!$B$8+J126*Parâmetros!$B$9+L126*Parâmetros!$B$10)</f>
        <v/>
      </c>
      <c r="N126" s="16" t="str">
        <f>IF(M126="","",IFERROR(VLOOKUP(M126,Parâmetros!$M$15:$O$17,2,TRUE),""))</f>
        <v/>
      </c>
      <c r="O126" s="18" t="str">
        <f>IF(N126="","",VLOOKUP(N126,Parâmetros!$N$15:$O$17,2,FALSE))</f>
        <v/>
      </c>
      <c r="P126" s="18" t="str">
        <f>IF(O126="","",O126*VLOOKUP(N126,Parâmetros!$N$15:$P$17,3,FALSE))</f>
        <v/>
      </c>
      <c r="Q126" s="18" t="str">
        <f>IF(O126="","",O126*VLOOKUP(N126,Parâmetros!$N$15:$Q$17,4,FALSE))</f>
        <v/>
      </c>
      <c r="R126" s="15"/>
    </row>
    <row r="127" spans="1:18">
      <c r="A127" s="15"/>
      <c r="B127" s="15"/>
      <c r="C127" s="15"/>
      <c r="D127" s="15"/>
      <c r="E127" s="15"/>
      <c r="F127" s="16" t="str">
        <f>IFERROR(VLOOKUP(E127,Parâmetros!$A$15:$B$18,2,FALSE),"")</f>
        <v/>
      </c>
      <c r="G127" s="16"/>
      <c r="H127" s="16" t="str">
        <f>IFERROR(VLOOKUP(G127,Parâmetros!$D$15:$E$18,2,FALSE),"")</f>
        <v/>
      </c>
      <c r="I127" s="16"/>
      <c r="J127" s="16" t="str">
        <f>IFERROR(VLOOKUP(I127,Parâmetros!$G$15:$H$18,2,FALSE),"")</f>
        <v/>
      </c>
      <c r="K127" s="16"/>
      <c r="L127" s="16" t="str">
        <f>IFERROR(VLOOKUP(K127,Parâmetros!$J$15:$K$18,2,FALSE),"")</f>
        <v/>
      </c>
      <c r="M127" s="17" t="str">
        <f>IF(COUNTA(E127,G127,I127,K127)&lt;4,"",F127*Parâmetros!$B$7+H127*Parâmetros!$B$8+J127*Parâmetros!$B$9+L127*Parâmetros!$B$10)</f>
        <v/>
      </c>
      <c r="N127" s="16" t="str">
        <f>IF(M127="","",IFERROR(VLOOKUP(M127,Parâmetros!$M$15:$O$17,2,TRUE),""))</f>
        <v/>
      </c>
      <c r="O127" s="18" t="str">
        <f>IF(N127="","",VLOOKUP(N127,Parâmetros!$N$15:$O$17,2,FALSE))</f>
        <v/>
      </c>
      <c r="P127" s="18" t="str">
        <f>IF(O127="","",O127*VLOOKUP(N127,Parâmetros!$N$15:$P$17,3,FALSE))</f>
        <v/>
      </c>
      <c r="Q127" s="18" t="str">
        <f>IF(O127="","",O127*VLOOKUP(N127,Parâmetros!$N$15:$Q$17,4,FALSE))</f>
        <v/>
      </c>
      <c r="R127" s="15"/>
    </row>
    <row r="128" spans="1:18">
      <c r="A128" s="15"/>
      <c r="B128" s="15"/>
      <c r="C128" s="15"/>
      <c r="D128" s="15"/>
      <c r="E128" s="15"/>
      <c r="F128" s="16" t="str">
        <f>IFERROR(VLOOKUP(E128,Parâmetros!$A$15:$B$18,2,FALSE),"")</f>
        <v/>
      </c>
      <c r="G128" s="16"/>
      <c r="H128" s="16" t="str">
        <f>IFERROR(VLOOKUP(G128,Parâmetros!$D$15:$E$18,2,FALSE),"")</f>
        <v/>
      </c>
      <c r="I128" s="16"/>
      <c r="J128" s="16" t="str">
        <f>IFERROR(VLOOKUP(I128,Parâmetros!$G$15:$H$18,2,FALSE),"")</f>
        <v/>
      </c>
      <c r="K128" s="16"/>
      <c r="L128" s="16" t="str">
        <f>IFERROR(VLOOKUP(K128,Parâmetros!$J$15:$K$18,2,FALSE),"")</f>
        <v/>
      </c>
      <c r="M128" s="17" t="str">
        <f>IF(COUNTA(E128,G128,I128,K128)&lt;4,"",F128*Parâmetros!$B$7+H128*Parâmetros!$B$8+J128*Parâmetros!$B$9+L128*Parâmetros!$B$10)</f>
        <v/>
      </c>
      <c r="N128" s="16" t="str">
        <f>IF(M128="","",IFERROR(VLOOKUP(M128,Parâmetros!$M$15:$O$17,2,TRUE),""))</f>
        <v/>
      </c>
      <c r="O128" s="18" t="str">
        <f>IF(N128="","",VLOOKUP(N128,Parâmetros!$N$15:$O$17,2,FALSE))</f>
        <v/>
      </c>
      <c r="P128" s="18" t="str">
        <f>IF(O128="","",O128*VLOOKUP(N128,Parâmetros!$N$15:$P$17,3,FALSE))</f>
        <v/>
      </c>
      <c r="Q128" s="18" t="str">
        <f>IF(O128="","",O128*VLOOKUP(N128,Parâmetros!$N$15:$Q$17,4,FALSE))</f>
        <v/>
      </c>
      <c r="R128" s="15"/>
    </row>
    <row r="129" spans="1:18">
      <c r="A129" s="15"/>
      <c r="B129" s="15"/>
      <c r="C129" s="15"/>
      <c r="D129" s="15"/>
      <c r="E129" s="15"/>
      <c r="F129" s="16" t="str">
        <f>IFERROR(VLOOKUP(E129,Parâmetros!$A$15:$B$18,2,FALSE),"")</f>
        <v/>
      </c>
      <c r="G129" s="16"/>
      <c r="H129" s="16" t="str">
        <f>IFERROR(VLOOKUP(G129,Parâmetros!$D$15:$E$18,2,FALSE),"")</f>
        <v/>
      </c>
      <c r="I129" s="16"/>
      <c r="J129" s="16" t="str">
        <f>IFERROR(VLOOKUP(I129,Parâmetros!$G$15:$H$18,2,FALSE),"")</f>
        <v/>
      </c>
      <c r="K129" s="16"/>
      <c r="L129" s="16" t="str">
        <f>IFERROR(VLOOKUP(K129,Parâmetros!$J$15:$K$18,2,FALSE),"")</f>
        <v/>
      </c>
      <c r="M129" s="17" t="str">
        <f>IF(COUNTA(E129,G129,I129,K129)&lt;4,"",F129*Parâmetros!$B$7+H129*Parâmetros!$B$8+J129*Parâmetros!$B$9+L129*Parâmetros!$B$10)</f>
        <v/>
      </c>
      <c r="N129" s="16" t="str">
        <f>IF(M129="","",IFERROR(VLOOKUP(M129,Parâmetros!$M$15:$O$17,2,TRUE),""))</f>
        <v/>
      </c>
      <c r="O129" s="18" t="str">
        <f>IF(N129="","",VLOOKUP(N129,Parâmetros!$N$15:$O$17,2,FALSE))</f>
        <v/>
      </c>
      <c r="P129" s="18" t="str">
        <f>IF(O129="","",O129*VLOOKUP(N129,Parâmetros!$N$15:$P$17,3,FALSE))</f>
        <v/>
      </c>
      <c r="Q129" s="18" t="str">
        <f>IF(O129="","",O129*VLOOKUP(N129,Parâmetros!$N$15:$Q$17,4,FALSE))</f>
        <v/>
      </c>
      <c r="R129" s="15"/>
    </row>
    <row r="130" spans="1:18">
      <c r="A130" s="15"/>
      <c r="B130" s="15"/>
      <c r="C130" s="15"/>
      <c r="D130" s="15"/>
      <c r="E130" s="15"/>
      <c r="F130" s="16" t="str">
        <f>IFERROR(VLOOKUP(E130,Parâmetros!$A$15:$B$18,2,FALSE),"")</f>
        <v/>
      </c>
      <c r="G130" s="16"/>
      <c r="H130" s="16" t="str">
        <f>IFERROR(VLOOKUP(G130,Parâmetros!$D$15:$E$18,2,FALSE),"")</f>
        <v/>
      </c>
      <c r="I130" s="16"/>
      <c r="J130" s="16" t="str">
        <f>IFERROR(VLOOKUP(I130,Parâmetros!$G$15:$H$18,2,FALSE),"")</f>
        <v/>
      </c>
      <c r="K130" s="16"/>
      <c r="L130" s="16" t="str">
        <f>IFERROR(VLOOKUP(K130,Parâmetros!$J$15:$K$18,2,FALSE),"")</f>
        <v/>
      </c>
      <c r="M130" s="17" t="str">
        <f>IF(COUNTA(E130,G130,I130,K130)&lt;4,"",F130*Parâmetros!$B$7+H130*Parâmetros!$B$8+J130*Parâmetros!$B$9+L130*Parâmetros!$B$10)</f>
        <v/>
      </c>
      <c r="N130" s="16" t="str">
        <f>IF(M130="","",IFERROR(VLOOKUP(M130,Parâmetros!$M$15:$O$17,2,TRUE),""))</f>
        <v/>
      </c>
      <c r="O130" s="18" t="str">
        <f>IF(N130="","",VLOOKUP(N130,Parâmetros!$N$15:$O$17,2,FALSE))</f>
        <v/>
      </c>
      <c r="P130" s="18" t="str">
        <f>IF(O130="","",O130*VLOOKUP(N130,Parâmetros!$N$15:$P$17,3,FALSE))</f>
        <v/>
      </c>
      <c r="Q130" s="18" t="str">
        <f>IF(O130="","",O130*VLOOKUP(N130,Parâmetros!$N$15:$Q$17,4,FALSE))</f>
        <v/>
      </c>
      <c r="R130" s="15"/>
    </row>
    <row r="131" spans="1:18">
      <c r="A131" s="15"/>
      <c r="B131" s="15"/>
      <c r="C131" s="15"/>
      <c r="D131" s="15"/>
      <c r="E131" s="15"/>
      <c r="F131" s="16" t="str">
        <f>IFERROR(VLOOKUP(E131,Parâmetros!$A$15:$B$18,2,FALSE),"")</f>
        <v/>
      </c>
      <c r="G131" s="16"/>
      <c r="H131" s="16" t="str">
        <f>IFERROR(VLOOKUP(G131,Parâmetros!$D$15:$E$18,2,FALSE),"")</f>
        <v/>
      </c>
      <c r="I131" s="16"/>
      <c r="J131" s="16" t="str">
        <f>IFERROR(VLOOKUP(I131,Parâmetros!$G$15:$H$18,2,FALSE),"")</f>
        <v/>
      </c>
      <c r="K131" s="16"/>
      <c r="L131" s="16" t="str">
        <f>IFERROR(VLOOKUP(K131,Parâmetros!$J$15:$K$18,2,FALSE),"")</f>
        <v/>
      </c>
      <c r="M131" s="17" t="str">
        <f>IF(COUNTA(E131,G131,I131,K131)&lt;4,"",F131*Parâmetros!$B$7+H131*Parâmetros!$B$8+J131*Parâmetros!$B$9+L131*Parâmetros!$B$10)</f>
        <v/>
      </c>
      <c r="N131" s="16" t="str">
        <f>IF(M131="","",IFERROR(VLOOKUP(M131,Parâmetros!$M$15:$O$17,2,TRUE),""))</f>
        <v/>
      </c>
      <c r="O131" s="18" t="str">
        <f>IF(N131="","",VLOOKUP(N131,Parâmetros!$N$15:$O$17,2,FALSE))</f>
        <v/>
      </c>
      <c r="P131" s="18" t="str">
        <f>IF(O131="","",O131*VLOOKUP(N131,Parâmetros!$N$15:$P$17,3,FALSE))</f>
        <v/>
      </c>
      <c r="Q131" s="18" t="str">
        <f>IF(O131="","",O131*VLOOKUP(N131,Parâmetros!$N$15:$Q$17,4,FALSE))</f>
        <v/>
      </c>
      <c r="R131" s="15"/>
    </row>
    <row r="132" spans="1:18">
      <c r="A132" s="15"/>
      <c r="B132" s="15"/>
      <c r="C132" s="15"/>
      <c r="D132" s="15"/>
      <c r="E132" s="15"/>
      <c r="F132" s="16" t="str">
        <f>IFERROR(VLOOKUP(E132,Parâmetros!$A$15:$B$18,2,FALSE),"")</f>
        <v/>
      </c>
      <c r="G132" s="16"/>
      <c r="H132" s="16" t="str">
        <f>IFERROR(VLOOKUP(G132,Parâmetros!$D$15:$E$18,2,FALSE),"")</f>
        <v/>
      </c>
      <c r="I132" s="16"/>
      <c r="J132" s="16" t="str">
        <f>IFERROR(VLOOKUP(I132,Parâmetros!$G$15:$H$18,2,FALSE),"")</f>
        <v/>
      </c>
      <c r="K132" s="16"/>
      <c r="L132" s="16" t="str">
        <f>IFERROR(VLOOKUP(K132,Parâmetros!$J$15:$K$18,2,FALSE),"")</f>
        <v/>
      </c>
      <c r="M132" s="17" t="str">
        <f>IF(COUNTA(E132,G132,I132,K132)&lt;4,"",F132*Parâmetros!$B$7+H132*Parâmetros!$B$8+J132*Parâmetros!$B$9+L132*Parâmetros!$B$10)</f>
        <v/>
      </c>
      <c r="N132" s="16" t="str">
        <f>IF(M132="","",IFERROR(VLOOKUP(M132,Parâmetros!$M$15:$O$17,2,TRUE),""))</f>
        <v/>
      </c>
      <c r="O132" s="18" t="str">
        <f>IF(N132="","",VLOOKUP(N132,Parâmetros!$N$15:$O$17,2,FALSE))</f>
        <v/>
      </c>
      <c r="P132" s="18" t="str">
        <f>IF(O132="","",O132*VLOOKUP(N132,Parâmetros!$N$15:$P$17,3,FALSE))</f>
        <v/>
      </c>
      <c r="Q132" s="18" t="str">
        <f>IF(O132="","",O132*VLOOKUP(N132,Parâmetros!$N$15:$Q$17,4,FALSE))</f>
        <v/>
      </c>
      <c r="R132" s="15"/>
    </row>
    <row r="133" spans="1:18">
      <c r="A133" s="15"/>
      <c r="B133" s="15"/>
      <c r="C133" s="15"/>
      <c r="D133" s="15"/>
      <c r="E133" s="15"/>
      <c r="F133" s="16" t="str">
        <f>IFERROR(VLOOKUP(E133,Parâmetros!$A$15:$B$18,2,FALSE),"")</f>
        <v/>
      </c>
      <c r="G133" s="16"/>
      <c r="H133" s="16" t="str">
        <f>IFERROR(VLOOKUP(G133,Parâmetros!$D$15:$E$18,2,FALSE),"")</f>
        <v/>
      </c>
      <c r="I133" s="16"/>
      <c r="J133" s="16" t="str">
        <f>IFERROR(VLOOKUP(I133,Parâmetros!$G$15:$H$18,2,FALSE),"")</f>
        <v/>
      </c>
      <c r="K133" s="16"/>
      <c r="L133" s="16" t="str">
        <f>IFERROR(VLOOKUP(K133,Parâmetros!$J$15:$K$18,2,FALSE),"")</f>
        <v/>
      </c>
      <c r="M133" s="17" t="str">
        <f>IF(COUNTA(E133,G133,I133,K133)&lt;4,"",F133*Parâmetros!$B$7+H133*Parâmetros!$B$8+J133*Parâmetros!$B$9+L133*Parâmetros!$B$10)</f>
        <v/>
      </c>
      <c r="N133" s="16" t="str">
        <f>IF(M133="","",IFERROR(VLOOKUP(M133,Parâmetros!$M$15:$O$17,2,TRUE),""))</f>
        <v/>
      </c>
      <c r="O133" s="18" t="str">
        <f>IF(N133="","",VLOOKUP(N133,Parâmetros!$N$15:$O$17,2,FALSE))</f>
        <v/>
      </c>
      <c r="P133" s="18" t="str">
        <f>IF(O133="","",O133*VLOOKUP(N133,Parâmetros!$N$15:$P$17,3,FALSE))</f>
        <v/>
      </c>
      <c r="Q133" s="18" t="str">
        <f>IF(O133="","",O133*VLOOKUP(N133,Parâmetros!$N$15:$Q$17,4,FALSE))</f>
        <v/>
      </c>
      <c r="R133" s="15"/>
    </row>
    <row r="134" spans="1:18">
      <c r="A134" s="15"/>
      <c r="B134" s="15"/>
      <c r="C134" s="15"/>
      <c r="D134" s="15"/>
      <c r="E134" s="15"/>
      <c r="F134" s="16" t="str">
        <f>IFERROR(VLOOKUP(E134,Parâmetros!$A$15:$B$18,2,FALSE),"")</f>
        <v/>
      </c>
      <c r="G134" s="16"/>
      <c r="H134" s="16" t="str">
        <f>IFERROR(VLOOKUP(G134,Parâmetros!$D$15:$E$18,2,FALSE),"")</f>
        <v/>
      </c>
      <c r="I134" s="16"/>
      <c r="J134" s="16" t="str">
        <f>IFERROR(VLOOKUP(I134,Parâmetros!$G$15:$H$18,2,FALSE),"")</f>
        <v/>
      </c>
      <c r="K134" s="16"/>
      <c r="L134" s="16" t="str">
        <f>IFERROR(VLOOKUP(K134,Parâmetros!$J$15:$K$18,2,FALSE),"")</f>
        <v/>
      </c>
      <c r="M134" s="17" t="str">
        <f>IF(COUNTA(E134,G134,I134,K134)&lt;4,"",F134*Parâmetros!$B$7+H134*Parâmetros!$B$8+J134*Parâmetros!$B$9+L134*Parâmetros!$B$10)</f>
        <v/>
      </c>
      <c r="N134" s="16" t="str">
        <f>IF(M134="","",IFERROR(VLOOKUP(M134,Parâmetros!$M$15:$O$17,2,TRUE),""))</f>
        <v/>
      </c>
      <c r="O134" s="18" t="str">
        <f>IF(N134="","",VLOOKUP(N134,Parâmetros!$N$15:$O$17,2,FALSE))</f>
        <v/>
      </c>
      <c r="P134" s="18" t="str">
        <f>IF(O134="","",O134*VLOOKUP(N134,Parâmetros!$N$15:$P$17,3,FALSE))</f>
        <v/>
      </c>
      <c r="Q134" s="18" t="str">
        <f>IF(O134="","",O134*VLOOKUP(N134,Parâmetros!$N$15:$Q$17,4,FALSE))</f>
        <v/>
      </c>
      <c r="R134" s="15"/>
    </row>
    <row r="135" spans="1:18">
      <c r="A135" s="15"/>
      <c r="B135" s="15"/>
      <c r="C135" s="15"/>
      <c r="D135" s="15"/>
      <c r="E135" s="15"/>
      <c r="F135" s="16" t="str">
        <f>IFERROR(VLOOKUP(E135,Parâmetros!$A$15:$B$18,2,FALSE),"")</f>
        <v/>
      </c>
      <c r="G135" s="16"/>
      <c r="H135" s="16" t="str">
        <f>IFERROR(VLOOKUP(G135,Parâmetros!$D$15:$E$18,2,FALSE),"")</f>
        <v/>
      </c>
      <c r="I135" s="16"/>
      <c r="J135" s="16" t="str">
        <f>IFERROR(VLOOKUP(I135,Parâmetros!$G$15:$H$18,2,FALSE),"")</f>
        <v/>
      </c>
      <c r="K135" s="16"/>
      <c r="L135" s="16" t="str">
        <f>IFERROR(VLOOKUP(K135,Parâmetros!$J$15:$K$18,2,FALSE),"")</f>
        <v/>
      </c>
      <c r="M135" s="17" t="str">
        <f>IF(COUNTA(E135,G135,I135,K135)&lt;4,"",F135*Parâmetros!$B$7+H135*Parâmetros!$B$8+J135*Parâmetros!$B$9+L135*Parâmetros!$B$10)</f>
        <v/>
      </c>
      <c r="N135" s="16" t="str">
        <f>IF(M135="","",IFERROR(VLOOKUP(M135,Parâmetros!$M$15:$O$17,2,TRUE),""))</f>
        <v/>
      </c>
      <c r="O135" s="18" t="str">
        <f>IF(N135="","",VLOOKUP(N135,Parâmetros!$N$15:$O$17,2,FALSE))</f>
        <v/>
      </c>
      <c r="P135" s="18" t="str">
        <f>IF(O135="","",O135*VLOOKUP(N135,Parâmetros!$N$15:$P$17,3,FALSE))</f>
        <v/>
      </c>
      <c r="Q135" s="18" t="str">
        <f>IF(O135="","",O135*VLOOKUP(N135,Parâmetros!$N$15:$Q$17,4,FALSE))</f>
        <v/>
      </c>
      <c r="R135" s="15"/>
    </row>
    <row r="136" spans="1:18">
      <c r="A136" s="15"/>
      <c r="B136" s="15"/>
      <c r="C136" s="15"/>
      <c r="D136" s="15"/>
      <c r="E136" s="15"/>
      <c r="F136" s="16" t="str">
        <f>IFERROR(VLOOKUP(E136,Parâmetros!$A$15:$B$18,2,FALSE),"")</f>
        <v/>
      </c>
      <c r="G136" s="16"/>
      <c r="H136" s="16" t="str">
        <f>IFERROR(VLOOKUP(G136,Parâmetros!$D$15:$E$18,2,FALSE),"")</f>
        <v/>
      </c>
      <c r="I136" s="16"/>
      <c r="J136" s="16" t="str">
        <f>IFERROR(VLOOKUP(I136,Parâmetros!$G$15:$H$18,2,FALSE),"")</f>
        <v/>
      </c>
      <c r="K136" s="16"/>
      <c r="L136" s="16" t="str">
        <f>IFERROR(VLOOKUP(K136,Parâmetros!$J$15:$K$18,2,FALSE),"")</f>
        <v/>
      </c>
      <c r="M136" s="17" t="str">
        <f>IF(COUNTA(E136,G136,I136,K136)&lt;4,"",F136*Parâmetros!$B$7+H136*Parâmetros!$B$8+J136*Parâmetros!$B$9+L136*Parâmetros!$B$10)</f>
        <v/>
      </c>
      <c r="N136" s="16" t="str">
        <f>IF(M136="","",IFERROR(VLOOKUP(M136,Parâmetros!$M$15:$O$17,2,TRUE),""))</f>
        <v/>
      </c>
      <c r="O136" s="18" t="str">
        <f>IF(N136="","",VLOOKUP(N136,Parâmetros!$N$15:$O$17,2,FALSE))</f>
        <v/>
      </c>
      <c r="P136" s="18" t="str">
        <f>IF(O136="","",O136*VLOOKUP(N136,Parâmetros!$N$15:$P$17,3,FALSE))</f>
        <v/>
      </c>
      <c r="Q136" s="18" t="str">
        <f>IF(O136="","",O136*VLOOKUP(N136,Parâmetros!$N$15:$Q$17,4,FALSE))</f>
        <v/>
      </c>
      <c r="R136" s="15"/>
    </row>
    <row r="137" spans="1:18">
      <c r="A137" s="15"/>
      <c r="B137" s="15"/>
      <c r="C137" s="15"/>
      <c r="D137" s="15"/>
      <c r="E137" s="15"/>
      <c r="F137" s="16" t="str">
        <f>IFERROR(VLOOKUP(E137,Parâmetros!$A$15:$B$18,2,FALSE),"")</f>
        <v/>
      </c>
      <c r="G137" s="16"/>
      <c r="H137" s="16" t="str">
        <f>IFERROR(VLOOKUP(G137,Parâmetros!$D$15:$E$18,2,FALSE),"")</f>
        <v/>
      </c>
      <c r="I137" s="16"/>
      <c r="J137" s="16" t="str">
        <f>IFERROR(VLOOKUP(I137,Parâmetros!$G$15:$H$18,2,FALSE),"")</f>
        <v/>
      </c>
      <c r="K137" s="16"/>
      <c r="L137" s="16" t="str">
        <f>IFERROR(VLOOKUP(K137,Parâmetros!$J$15:$K$18,2,FALSE),"")</f>
        <v/>
      </c>
      <c r="M137" s="17" t="str">
        <f>IF(COUNTA(E137,G137,I137,K137)&lt;4,"",F137*Parâmetros!$B$7+H137*Parâmetros!$B$8+J137*Parâmetros!$B$9+L137*Parâmetros!$B$10)</f>
        <v/>
      </c>
      <c r="N137" s="16" t="str">
        <f>IF(M137="","",IFERROR(VLOOKUP(M137,Parâmetros!$M$15:$O$17,2,TRUE),""))</f>
        <v/>
      </c>
      <c r="O137" s="18" t="str">
        <f>IF(N137="","",VLOOKUP(N137,Parâmetros!$N$15:$O$17,2,FALSE))</f>
        <v/>
      </c>
      <c r="P137" s="18" t="str">
        <f>IF(O137="","",O137*VLOOKUP(N137,Parâmetros!$N$15:$P$17,3,FALSE))</f>
        <v/>
      </c>
      <c r="Q137" s="18" t="str">
        <f>IF(O137="","",O137*VLOOKUP(N137,Parâmetros!$N$15:$Q$17,4,FALSE))</f>
        <v/>
      </c>
      <c r="R137" s="15"/>
    </row>
    <row r="138" spans="1:18">
      <c r="A138" s="15"/>
      <c r="B138" s="15"/>
      <c r="C138" s="15"/>
      <c r="D138" s="15"/>
      <c r="E138" s="15"/>
      <c r="F138" s="16" t="str">
        <f>IFERROR(VLOOKUP(E138,Parâmetros!$A$15:$B$18,2,FALSE),"")</f>
        <v/>
      </c>
      <c r="G138" s="16"/>
      <c r="H138" s="16" t="str">
        <f>IFERROR(VLOOKUP(G138,Parâmetros!$D$15:$E$18,2,FALSE),"")</f>
        <v/>
      </c>
      <c r="I138" s="16"/>
      <c r="J138" s="16" t="str">
        <f>IFERROR(VLOOKUP(I138,Parâmetros!$G$15:$H$18,2,FALSE),"")</f>
        <v/>
      </c>
      <c r="K138" s="16"/>
      <c r="L138" s="16" t="str">
        <f>IFERROR(VLOOKUP(K138,Parâmetros!$J$15:$K$18,2,FALSE),"")</f>
        <v/>
      </c>
      <c r="M138" s="17" t="str">
        <f>IF(COUNTA(E138,G138,I138,K138)&lt;4,"",F138*Parâmetros!$B$7+H138*Parâmetros!$B$8+J138*Parâmetros!$B$9+L138*Parâmetros!$B$10)</f>
        <v/>
      </c>
      <c r="N138" s="16" t="str">
        <f>IF(M138="","",IFERROR(VLOOKUP(M138,Parâmetros!$M$15:$O$17,2,TRUE),""))</f>
        <v/>
      </c>
      <c r="O138" s="18" t="str">
        <f>IF(N138="","",VLOOKUP(N138,Parâmetros!$N$15:$O$17,2,FALSE))</f>
        <v/>
      </c>
      <c r="P138" s="18" t="str">
        <f>IF(O138="","",O138*VLOOKUP(N138,Parâmetros!$N$15:$P$17,3,FALSE))</f>
        <v/>
      </c>
      <c r="Q138" s="18" t="str">
        <f>IF(O138="","",O138*VLOOKUP(N138,Parâmetros!$N$15:$Q$17,4,FALSE))</f>
        <v/>
      </c>
      <c r="R138" s="15"/>
    </row>
    <row r="139" spans="1:18">
      <c r="A139" s="15"/>
      <c r="B139" s="15"/>
      <c r="C139" s="15"/>
      <c r="D139" s="15"/>
      <c r="E139" s="15"/>
      <c r="F139" s="16" t="str">
        <f>IFERROR(VLOOKUP(E139,Parâmetros!$A$15:$B$18,2,FALSE),"")</f>
        <v/>
      </c>
      <c r="G139" s="16"/>
      <c r="H139" s="16" t="str">
        <f>IFERROR(VLOOKUP(G139,Parâmetros!$D$15:$E$18,2,FALSE),"")</f>
        <v/>
      </c>
      <c r="I139" s="16"/>
      <c r="J139" s="16" t="str">
        <f>IFERROR(VLOOKUP(I139,Parâmetros!$G$15:$H$18,2,FALSE),"")</f>
        <v/>
      </c>
      <c r="K139" s="16"/>
      <c r="L139" s="16" t="str">
        <f>IFERROR(VLOOKUP(K139,Parâmetros!$J$15:$K$18,2,FALSE),"")</f>
        <v/>
      </c>
      <c r="M139" s="17" t="str">
        <f>IF(COUNTA(E139,G139,I139,K139)&lt;4,"",F139*Parâmetros!$B$7+H139*Parâmetros!$B$8+J139*Parâmetros!$B$9+L139*Parâmetros!$B$10)</f>
        <v/>
      </c>
      <c r="N139" s="16" t="str">
        <f>IF(M139="","",IFERROR(VLOOKUP(M139,Parâmetros!$M$15:$O$17,2,TRUE),""))</f>
        <v/>
      </c>
      <c r="O139" s="18" t="str">
        <f>IF(N139="","",VLOOKUP(N139,Parâmetros!$N$15:$O$17,2,FALSE))</f>
        <v/>
      </c>
      <c r="P139" s="18" t="str">
        <f>IF(O139="","",O139*VLOOKUP(N139,Parâmetros!$N$15:$P$17,3,FALSE))</f>
        <v/>
      </c>
      <c r="Q139" s="18" t="str">
        <f>IF(O139="","",O139*VLOOKUP(N139,Parâmetros!$N$15:$Q$17,4,FALSE))</f>
        <v/>
      </c>
      <c r="R139" s="15"/>
    </row>
    <row r="140" spans="1:18">
      <c r="A140" s="15"/>
      <c r="B140" s="15"/>
      <c r="C140" s="15"/>
      <c r="D140" s="15"/>
      <c r="E140" s="15"/>
      <c r="F140" s="16" t="str">
        <f>IFERROR(VLOOKUP(E140,Parâmetros!$A$15:$B$18,2,FALSE),"")</f>
        <v/>
      </c>
      <c r="G140" s="16"/>
      <c r="H140" s="16" t="str">
        <f>IFERROR(VLOOKUP(G140,Parâmetros!$D$15:$E$18,2,FALSE),"")</f>
        <v/>
      </c>
      <c r="I140" s="16"/>
      <c r="J140" s="16" t="str">
        <f>IFERROR(VLOOKUP(I140,Parâmetros!$G$15:$H$18,2,FALSE),"")</f>
        <v/>
      </c>
      <c r="K140" s="16"/>
      <c r="L140" s="16" t="str">
        <f>IFERROR(VLOOKUP(K140,Parâmetros!$J$15:$K$18,2,FALSE),"")</f>
        <v/>
      </c>
      <c r="M140" s="17" t="str">
        <f>IF(COUNTA(E140,G140,I140,K140)&lt;4,"",F140*Parâmetros!$B$7+H140*Parâmetros!$B$8+J140*Parâmetros!$B$9+L140*Parâmetros!$B$10)</f>
        <v/>
      </c>
      <c r="N140" s="16" t="str">
        <f>IF(M140="","",IFERROR(VLOOKUP(M140,Parâmetros!$M$15:$O$17,2,TRUE),""))</f>
        <v/>
      </c>
      <c r="O140" s="18" t="str">
        <f>IF(N140="","",VLOOKUP(N140,Parâmetros!$N$15:$O$17,2,FALSE))</f>
        <v/>
      </c>
      <c r="P140" s="18" t="str">
        <f>IF(O140="","",O140*VLOOKUP(N140,Parâmetros!$N$15:$P$17,3,FALSE))</f>
        <v/>
      </c>
      <c r="Q140" s="18" t="str">
        <f>IF(O140="","",O140*VLOOKUP(N140,Parâmetros!$N$15:$Q$17,4,FALSE))</f>
        <v/>
      </c>
      <c r="R140" s="15"/>
    </row>
    <row r="141" spans="1:18">
      <c r="A141" s="15"/>
      <c r="B141" s="15"/>
      <c r="C141" s="15"/>
      <c r="D141" s="15"/>
      <c r="E141" s="15"/>
      <c r="F141" s="16" t="str">
        <f>IFERROR(VLOOKUP(E141,Parâmetros!$A$15:$B$18,2,FALSE),"")</f>
        <v/>
      </c>
      <c r="G141" s="16"/>
      <c r="H141" s="16" t="str">
        <f>IFERROR(VLOOKUP(G141,Parâmetros!$D$15:$E$18,2,FALSE),"")</f>
        <v/>
      </c>
      <c r="I141" s="16"/>
      <c r="J141" s="16" t="str">
        <f>IFERROR(VLOOKUP(I141,Parâmetros!$G$15:$H$18,2,FALSE),"")</f>
        <v/>
      </c>
      <c r="K141" s="16"/>
      <c r="L141" s="16" t="str">
        <f>IFERROR(VLOOKUP(K141,Parâmetros!$J$15:$K$18,2,FALSE),"")</f>
        <v/>
      </c>
      <c r="M141" s="17" t="str">
        <f>IF(COUNTA(E141,G141,I141,K141)&lt;4,"",F141*Parâmetros!$B$7+H141*Parâmetros!$B$8+J141*Parâmetros!$B$9+L141*Parâmetros!$B$10)</f>
        <v/>
      </c>
      <c r="N141" s="16" t="str">
        <f>IF(M141="","",IFERROR(VLOOKUP(M141,Parâmetros!$M$15:$O$17,2,TRUE),""))</f>
        <v/>
      </c>
      <c r="O141" s="18" t="str">
        <f>IF(N141="","",VLOOKUP(N141,Parâmetros!$N$15:$O$17,2,FALSE))</f>
        <v/>
      </c>
      <c r="P141" s="18" t="str">
        <f>IF(O141="","",O141*VLOOKUP(N141,Parâmetros!$N$15:$P$17,3,FALSE))</f>
        <v/>
      </c>
      <c r="Q141" s="18" t="str">
        <f>IF(O141="","",O141*VLOOKUP(N141,Parâmetros!$N$15:$Q$17,4,FALSE))</f>
        <v/>
      </c>
      <c r="R141" s="15"/>
    </row>
    <row r="142" spans="1:18">
      <c r="A142" s="15"/>
      <c r="B142" s="15"/>
      <c r="C142" s="15"/>
      <c r="D142" s="15"/>
      <c r="E142" s="15"/>
      <c r="F142" s="16" t="str">
        <f>IFERROR(VLOOKUP(E142,Parâmetros!$A$15:$B$18,2,FALSE),"")</f>
        <v/>
      </c>
      <c r="G142" s="16"/>
      <c r="H142" s="16" t="str">
        <f>IFERROR(VLOOKUP(G142,Parâmetros!$D$15:$E$18,2,FALSE),"")</f>
        <v/>
      </c>
      <c r="I142" s="16"/>
      <c r="J142" s="16" t="str">
        <f>IFERROR(VLOOKUP(I142,Parâmetros!$G$15:$H$18,2,FALSE),"")</f>
        <v/>
      </c>
      <c r="K142" s="16"/>
      <c r="L142" s="16" t="str">
        <f>IFERROR(VLOOKUP(K142,Parâmetros!$J$15:$K$18,2,FALSE),"")</f>
        <v/>
      </c>
      <c r="M142" s="17" t="str">
        <f>IF(COUNTA(E142,G142,I142,K142)&lt;4,"",F142*Parâmetros!$B$7+H142*Parâmetros!$B$8+J142*Parâmetros!$B$9+L142*Parâmetros!$B$10)</f>
        <v/>
      </c>
      <c r="N142" s="16" t="str">
        <f>IF(M142="","",IFERROR(VLOOKUP(M142,Parâmetros!$M$15:$O$17,2,TRUE),""))</f>
        <v/>
      </c>
      <c r="O142" s="18" t="str">
        <f>IF(N142="","",VLOOKUP(N142,Parâmetros!$N$15:$O$17,2,FALSE))</f>
        <v/>
      </c>
      <c r="P142" s="18" t="str">
        <f>IF(O142="","",O142*VLOOKUP(N142,Parâmetros!$N$15:$P$17,3,FALSE))</f>
        <v/>
      </c>
      <c r="Q142" s="18" t="str">
        <f>IF(O142="","",O142*VLOOKUP(N142,Parâmetros!$N$15:$Q$17,4,FALSE))</f>
        <v/>
      </c>
      <c r="R142" s="15"/>
    </row>
    <row r="143" spans="1:18">
      <c r="A143" s="15"/>
      <c r="B143" s="15"/>
      <c r="C143" s="15"/>
      <c r="D143" s="15"/>
      <c r="E143" s="15"/>
      <c r="F143" s="16" t="str">
        <f>IFERROR(VLOOKUP(E143,Parâmetros!$A$15:$B$18,2,FALSE),"")</f>
        <v/>
      </c>
      <c r="G143" s="16"/>
      <c r="H143" s="16" t="str">
        <f>IFERROR(VLOOKUP(G143,Parâmetros!$D$15:$E$18,2,FALSE),"")</f>
        <v/>
      </c>
      <c r="I143" s="16"/>
      <c r="J143" s="16" t="str">
        <f>IFERROR(VLOOKUP(I143,Parâmetros!$G$15:$H$18,2,FALSE),"")</f>
        <v/>
      </c>
      <c r="K143" s="16"/>
      <c r="L143" s="16" t="str">
        <f>IFERROR(VLOOKUP(K143,Parâmetros!$J$15:$K$18,2,FALSE),"")</f>
        <v/>
      </c>
      <c r="M143" s="17" t="str">
        <f>IF(COUNTA(E143,G143,I143,K143)&lt;4,"",F143*Parâmetros!$B$7+H143*Parâmetros!$B$8+J143*Parâmetros!$B$9+L143*Parâmetros!$B$10)</f>
        <v/>
      </c>
      <c r="N143" s="16" t="str">
        <f>IF(M143="","",IFERROR(VLOOKUP(M143,Parâmetros!$M$15:$O$17,2,TRUE),""))</f>
        <v/>
      </c>
      <c r="O143" s="18" t="str">
        <f>IF(N143="","",VLOOKUP(N143,Parâmetros!$N$15:$O$17,2,FALSE))</f>
        <v/>
      </c>
      <c r="P143" s="18" t="str">
        <f>IF(O143="","",O143*VLOOKUP(N143,Parâmetros!$N$15:$P$17,3,FALSE))</f>
        <v/>
      </c>
      <c r="Q143" s="18" t="str">
        <f>IF(O143="","",O143*VLOOKUP(N143,Parâmetros!$N$15:$Q$17,4,FALSE))</f>
        <v/>
      </c>
      <c r="R143" s="15"/>
    </row>
    <row r="144" spans="1:18">
      <c r="A144" s="15"/>
      <c r="B144" s="15"/>
      <c r="C144" s="15"/>
      <c r="D144" s="15"/>
      <c r="E144" s="15"/>
      <c r="F144" s="16" t="str">
        <f>IFERROR(VLOOKUP(E144,Parâmetros!$A$15:$B$18,2,FALSE),"")</f>
        <v/>
      </c>
      <c r="G144" s="16"/>
      <c r="H144" s="16" t="str">
        <f>IFERROR(VLOOKUP(G144,Parâmetros!$D$15:$E$18,2,FALSE),"")</f>
        <v/>
      </c>
      <c r="I144" s="16"/>
      <c r="J144" s="16" t="str">
        <f>IFERROR(VLOOKUP(I144,Parâmetros!$G$15:$H$18,2,FALSE),"")</f>
        <v/>
      </c>
      <c r="K144" s="16"/>
      <c r="L144" s="16" t="str">
        <f>IFERROR(VLOOKUP(K144,Parâmetros!$J$15:$K$18,2,FALSE),"")</f>
        <v/>
      </c>
      <c r="M144" s="17" t="str">
        <f>IF(COUNTA(E144,G144,I144,K144)&lt;4,"",F144*Parâmetros!$B$7+H144*Parâmetros!$B$8+J144*Parâmetros!$B$9+L144*Parâmetros!$B$10)</f>
        <v/>
      </c>
      <c r="N144" s="16" t="str">
        <f>IF(M144="","",IFERROR(VLOOKUP(M144,Parâmetros!$M$15:$O$17,2,TRUE),""))</f>
        <v/>
      </c>
      <c r="O144" s="18" t="str">
        <f>IF(N144="","",VLOOKUP(N144,Parâmetros!$N$15:$O$17,2,FALSE))</f>
        <v/>
      </c>
      <c r="P144" s="18" t="str">
        <f>IF(O144="","",O144*VLOOKUP(N144,Parâmetros!$N$15:$P$17,3,FALSE))</f>
        <v/>
      </c>
      <c r="Q144" s="18" t="str">
        <f>IF(O144="","",O144*VLOOKUP(N144,Parâmetros!$N$15:$Q$17,4,FALSE))</f>
        <v/>
      </c>
      <c r="R144" s="15"/>
    </row>
    <row r="145" spans="1:18">
      <c r="A145" s="15"/>
      <c r="B145" s="15"/>
      <c r="C145" s="15"/>
      <c r="D145" s="15"/>
      <c r="E145" s="15"/>
      <c r="F145" s="16" t="str">
        <f>IFERROR(VLOOKUP(E145,Parâmetros!$A$15:$B$18,2,FALSE),"")</f>
        <v/>
      </c>
      <c r="G145" s="16"/>
      <c r="H145" s="16" t="str">
        <f>IFERROR(VLOOKUP(G145,Parâmetros!$D$15:$E$18,2,FALSE),"")</f>
        <v/>
      </c>
      <c r="I145" s="16"/>
      <c r="J145" s="16" t="str">
        <f>IFERROR(VLOOKUP(I145,Parâmetros!$G$15:$H$18,2,FALSE),"")</f>
        <v/>
      </c>
      <c r="K145" s="16"/>
      <c r="L145" s="16" t="str">
        <f>IFERROR(VLOOKUP(K145,Parâmetros!$J$15:$K$18,2,FALSE),"")</f>
        <v/>
      </c>
      <c r="M145" s="17" t="str">
        <f>IF(COUNTA(E145,G145,I145,K145)&lt;4,"",F145*Parâmetros!$B$7+H145*Parâmetros!$B$8+J145*Parâmetros!$B$9+L145*Parâmetros!$B$10)</f>
        <v/>
      </c>
      <c r="N145" s="16" t="str">
        <f>IF(M145="","",IFERROR(VLOOKUP(M145,Parâmetros!$M$15:$O$17,2,TRUE),""))</f>
        <v/>
      </c>
      <c r="O145" s="18" t="str">
        <f>IF(N145="","",VLOOKUP(N145,Parâmetros!$N$15:$O$17,2,FALSE))</f>
        <v/>
      </c>
      <c r="P145" s="18" t="str">
        <f>IF(O145="","",O145*VLOOKUP(N145,Parâmetros!$N$15:$P$17,3,FALSE))</f>
        <v/>
      </c>
      <c r="Q145" s="18" t="str">
        <f>IF(O145="","",O145*VLOOKUP(N145,Parâmetros!$N$15:$Q$17,4,FALSE))</f>
        <v/>
      </c>
      <c r="R145" s="15"/>
    </row>
    <row r="146" spans="1:18">
      <c r="A146" s="15"/>
      <c r="B146" s="15"/>
      <c r="C146" s="15"/>
      <c r="D146" s="15"/>
      <c r="E146" s="15"/>
      <c r="F146" s="16" t="str">
        <f>IFERROR(VLOOKUP(E146,Parâmetros!$A$15:$B$18,2,FALSE),"")</f>
        <v/>
      </c>
      <c r="G146" s="16"/>
      <c r="H146" s="16" t="str">
        <f>IFERROR(VLOOKUP(G146,Parâmetros!$D$15:$E$18,2,FALSE),"")</f>
        <v/>
      </c>
      <c r="I146" s="16"/>
      <c r="J146" s="16" t="str">
        <f>IFERROR(VLOOKUP(I146,Parâmetros!$G$15:$H$18,2,FALSE),"")</f>
        <v/>
      </c>
      <c r="K146" s="16"/>
      <c r="L146" s="16" t="str">
        <f>IFERROR(VLOOKUP(K146,Parâmetros!$J$15:$K$18,2,FALSE),"")</f>
        <v/>
      </c>
      <c r="M146" s="17" t="str">
        <f>IF(COUNTA(E146,G146,I146,K146)&lt;4,"",F146*Parâmetros!$B$7+H146*Parâmetros!$B$8+J146*Parâmetros!$B$9+L146*Parâmetros!$B$10)</f>
        <v/>
      </c>
      <c r="N146" s="16" t="str">
        <f>IF(M146="","",IFERROR(VLOOKUP(M146,Parâmetros!$M$15:$O$17,2,TRUE),""))</f>
        <v/>
      </c>
      <c r="O146" s="18" t="str">
        <f>IF(N146="","",VLOOKUP(N146,Parâmetros!$N$15:$O$17,2,FALSE))</f>
        <v/>
      </c>
      <c r="P146" s="18" t="str">
        <f>IF(O146="","",O146*VLOOKUP(N146,Parâmetros!$N$15:$P$17,3,FALSE))</f>
        <v/>
      </c>
      <c r="Q146" s="18" t="str">
        <f>IF(O146="","",O146*VLOOKUP(N146,Parâmetros!$N$15:$Q$17,4,FALSE))</f>
        <v/>
      </c>
      <c r="R146" s="15"/>
    </row>
    <row r="147" spans="1:18">
      <c r="A147" s="15"/>
      <c r="B147" s="15"/>
      <c r="C147" s="15"/>
      <c r="D147" s="15"/>
      <c r="E147" s="15"/>
      <c r="F147" s="16" t="str">
        <f>IFERROR(VLOOKUP(E147,Parâmetros!$A$15:$B$18,2,FALSE),"")</f>
        <v/>
      </c>
      <c r="G147" s="16"/>
      <c r="H147" s="16" t="str">
        <f>IFERROR(VLOOKUP(G147,Parâmetros!$D$15:$E$18,2,FALSE),"")</f>
        <v/>
      </c>
      <c r="I147" s="16"/>
      <c r="J147" s="16" t="str">
        <f>IFERROR(VLOOKUP(I147,Parâmetros!$G$15:$H$18,2,FALSE),"")</f>
        <v/>
      </c>
      <c r="K147" s="16"/>
      <c r="L147" s="16" t="str">
        <f>IFERROR(VLOOKUP(K147,Parâmetros!$J$15:$K$18,2,FALSE),"")</f>
        <v/>
      </c>
      <c r="M147" s="17" t="str">
        <f>IF(COUNTA(E147,G147,I147,K147)&lt;4,"",F147*Parâmetros!$B$7+H147*Parâmetros!$B$8+J147*Parâmetros!$B$9+L147*Parâmetros!$B$10)</f>
        <v/>
      </c>
      <c r="N147" s="16" t="str">
        <f>IF(M147="","",IFERROR(VLOOKUP(M147,Parâmetros!$M$15:$O$17,2,TRUE),""))</f>
        <v/>
      </c>
      <c r="O147" s="18" t="str">
        <f>IF(N147="","",VLOOKUP(N147,Parâmetros!$N$15:$O$17,2,FALSE))</f>
        <v/>
      </c>
      <c r="P147" s="18" t="str">
        <f>IF(O147="","",O147*VLOOKUP(N147,Parâmetros!$N$15:$P$17,3,FALSE))</f>
        <v/>
      </c>
      <c r="Q147" s="18" t="str">
        <f>IF(O147="","",O147*VLOOKUP(N147,Parâmetros!$N$15:$Q$17,4,FALSE))</f>
        <v/>
      </c>
      <c r="R147" s="15"/>
    </row>
    <row r="148" spans="1:18">
      <c r="A148" s="15"/>
      <c r="B148" s="15"/>
      <c r="C148" s="15"/>
      <c r="D148" s="15"/>
      <c r="E148" s="15"/>
      <c r="F148" s="16" t="str">
        <f>IFERROR(VLOOKUP(E148,Parâmetros!$A$15:$B$18,2,FALSE),"")</f>
        <v/>
      </c>
      <c r="G148" s="16"/>
      <c r="H148" s="16" t="str">
        <f>IFERROR(VLOOKUP(G148,Parâmetros!$D$15:$E$18,2,FALSE),"")</f>
        <v/>
      </c>
      <c r="I148" s="16"/>
      <c r="J148" s="16" t="str">
        <f>IFERROR(VLOOKUP(I148,Parâmetros!$G$15:$H$18,2,FALSE),"")</f>
        <v/>
      </c>
      <c r="K148" s="16"/>
      <c r="L148" s="16" t="str">
        <f>IFERROR(VLOOKUP(K148,Parâmetros!$J$15:$K$18,2,FALSE),"")</f>
        <v/>
      </c>
      <c r="M148" s="17" t="str">
        <f>IF(COUNTA(E148,G148,I148,K148)&lt;4,"",F148*Parâmetros!$B$7+H148*Parâmetros!$B$8+J148*Parâmetros!$B$9+L148*Parâmetros!$B$10)</f>
        <v/>
      </c>
      <c r="N148" s="16" t="str">
        <f>IF(M148="","",IFERROR(VLOOKUP(M148,Parâmetros!$M$15:$O$17,2,TRUE),""))</f>
        <v/>
      </c>
      <c r="O148" s="18" t="str">
        <f>IF(N148="","",VLOOKUP(N148,Parâmetros!$N$15:$O$17,2,FALSE))</f>
        <v/>
      </c>
      <c r="P148" s="18" t="str">
        <f>IF(O148="","",O148*VLOOKUP(N148,Parâmetros!$N$15:$P$17,3,FALSE))</f>
        <v/>
      </c>
      <c r="Q148" s="18" t="str">
        <f>IF(O148="","",O148*VLOOKUP(N148,Parâmetros!$N$15:$Q$17,4,FALSE))</f>
        <v/>
      </c>
      <c r="R148" s="15"/>
    </row>
    <row r="149" spans="1:18">
      <c r="A149" s="15"/>
      <c r="B149" s="15"/>
      <c r="C149" s="15"/>
      <c r="D149" s="15"/>
      <c r="E149" s="15"/>
      <c r="F149" s="16" t="str">
        <f>IFERROR(VLOOKUP(E149,Parâmetros!$A$15:$B$18,2,FALSE),"")</f>
        <v/>
      </c>
      <c r="G149" s="16"/>
      <c r="H149" s="16" t="str">
        <f>IFERROR(VLOOKUP(G149,Parâmetros!$D$15:$E$18,2,FALSE),"")</f>
        <v/>
      </c>
      <c r="I149" s="16"/>
      <c r="J149" s="16" t="str">
        <f>IFERROR(VLOOKUP(I149,Parâmetros!$G$15:$H$18,2,FALSE),"")</f>
        <v/>
      </c>
      <c r="K149" s="16"/>
      <c r="L149" s="16" t="str">
        <f>IFERROR(VLOOKUP(K149,Parâmetros!$J$15:$K$18,2,FALSE),"")</f>
        <v/>
      </c>
      <c r="M149" s="17" t="str">
        <f>IF(COUNTA(E149,G149,I149,K149)&lt;4,"",F149*Parâmetros!$B$7+H149*Parâmetros!$B$8+J149*Parâmetros!$B$9+L149*Parâmetros!$B$10)</f>
        <v/>
      </c>
      <c r="N149" s="16" t="str">
        <f>IF(M149="","",IFERROR(VLOOKUP(M149,Parâmetros!$M$15:$O$17,2,TRUE),""))</f>
        <v/>
      </c>
      <c r="O149" s="18" t="str">
        <f>IF(N149="","",VLOOKUP(N149,Parâmetros!$N$15:$O$17,2,FALSE))</f>
        <v/>
      </c>
      <c r="P149" s="18" t="str">
        <f>IF(O149="","",O149*VLOOKUP(N149,Parâmetros!$N$15:$P$17,3,FALSE))</f>
        <v/>
      </c>
      <c r="Q149" s="18" t="str">
        <f>IF(O149="","",O149*VLOOKUP(N149,Parâmetros!$N$15:$Q$17,4,FALSE))</f>
        <v/>
      </c>
      <c r="R149" s="15"/>
    </row>
    <row r="150" spans="1:18">
      <c r="A150" s="15"/>
      <c r="B150" s="15"/>
      <c r="C150" s="15"/>
      <c r="D150" s="15"/>
      <c r="E150" s="15"/>
      <c r="F150" s="16" t="str">
        <f>IFERROR(VLOOKUP(E150,Parâmetros!$A$15:$B$18,2,FALSE),"")</f>
        <v/>
      </c>
      <c r="G150" s="16"/>
      <c r="H150" s="16" t="str">
        <f>IFERROR(VLOOKUP(G150,Parâmetros!$D$15:$E$18,2,FALSE),"")</f>
        <v/>
      </c>
      <c r="I150" s="16"/>
      <c r="J150" s="16" t="str">
        <f>IFERROR(VLOOKUP(I150,Parâmetros!$G$15:$H$18,2,FALSE),"")</f>
        <v/>
      </c>
      <c r="K150" s="16"/>
      <c r="L150" s="16" t="str">
        <f>IFERROR(VLOOKUP(K150,Parâmetros!$J$15:$K$18,2,FALSE),"")</f>
        <v/>
      </c>
      <c r="M150" s="17" t="str">
        <f>IF(COUNTA(E150,G150,I150,K150)&lt;4,"",F150*Parâmetros!$B$7+H150*Parâmetros!$B$8+J150*Parâmetros!$B$9+L150*Parâmetros!$B$10)</f>
        <v/>
      </c>
      <c r="N150" s="16" t="str">
        <f>IF(M150="","",IFERROR(VLOOKUP(M150,Parâmetros!$M$15:$O$17,2,TRUE),""))</f>
        <v/>
      </c>
      <c r="O150" s="18" t="str">
        <f>IF(N150="","",VLOOKUP(N150,Parâmetros!$N$15:$O$17,2,FALSE))</f>
        <v/>
      </c>
      <c r="P150" s="18" t="str">
        <f>IF(O150="","",O150*VLOOKUP(N150,Parâmetros!$N$15:$P$17,3,FALSE))</f>
        <v/>
      </c>
      <c r="Q150" s="18" t="str">
        <f>IF(O150="","",O150*VLOOKUP(N150,Parâmetros!$N$15:$Q$17,4,FALSE))</f>
        <v/>
      </c>
      <c r="R150" s="15"/>
    </row>
    <row r="151" spans="1:18">
      <c r="A151" s="15"/>
      <c r="B151" s="15"/>
      <c r="C151" s="15"/>
      <c r="D151" s="15"/>
      <c r="E151" s="15"/>
      <c r="F151" s="16" t="str">
        <f>IFERROR(VLOOKUP(E151,Parâmetros!$A$15:$B$18,2,FALSE),"")</f>
        <v/>
      </c>
      <c r="G151" s="16"/>
      <c r="H151" s="16" t="str">
        <f>IFERROR(VLOOKUP(G151,Parâmetros!$D$15:$E$18,2,FALSE),"")</f>
        <v/>
      </c>
      <c r="I151" s="16"/>
      <c r="J151" s="16" t="str">
        <f>IFERROR(VLOOKUP(I151,Parâmetros!$G$15:$H$18,2,FALSE),"")</f>
        <v/>
      </c>
      <c r="K151" s="16"/>
      <c r="L151" s="16" t="str">
        <f>IFERROR(VLOOKUP(K151,Parâmetros!$J$15:$K$18,2,FALSE),"")</f>
        <v/>
      </c>
      <c r="M151" s="17" t="str">
        <f>IF(COUNTA(E151,G151,I151,K151)&lt;4,"",F151*Parâmetros!$B$7+H151*Parâmetros!$B$8+J151*Parâmetros!$B$9+L151*Parâmetros!$B$10)</f>
        <v/>
      </c>
      <c r="N151" s="16" t="str">
        <f>IF(M151="","",IFERROR(VLOOKUP(M151,Parâmetros!$M$15:$O$17,2,TRUE),""))</f>
        <v/>
      </c>
      <c r="O151" s="18" t="str">
        <f>IF(N151="","",VLOOKUP(N151,Parâmetros!$N$15:$O$17,2,FALSE))</f>
        <v/>
      </c>
      <c r="P151" s="18" t="str">
        <f>IF(O151="","",O151*VLOOKUP(N151,Parâmetros!$N$15:$P$17,3,FALSE))</f>
        <v/>
      </c>
      <c r="Q151" s="18" t="str">
        <f>IF(O151="","",O151*VLOOKUP(N151,Parâmetros!$N$15:$Q$17,4,FALSE))</f>
        <v/>
      </c>
      <c r="R151" s="15"/>
    </row>
    <row r="152" spans="1:18">
      <c r="A152" s="15"/>
      <c r="B152" s="15"/>
      <c r="C152" s="15"/>
      <c r="D152" s="15"/>
      <c r="E152" s="15"/>
      <c r="F152" s="16" t="str">
        <f>IFERROR(VLOOKUP(E152,Parâmetros!$A$15:$B$18,2,FALSE),"")</f>
        <v/>
      </c>
      <c r="G152" s="16"/>
      <c r="H152" s="16" t="str">
        <f>IFERROR(VLOOKUP(G152,Parâmetros!$D$15:$E$18,2,FALSE),"")</f>
        <v/>
      </c>
      <c r="I152" s="16"/>
      <c r="J152" s="16" t="str">
        <f>IFERROR(VLOOKUP(I152,Parâmetros!$G$15:$H$18,2,FALSE),"")</f>
        <v/>
      </c>
      <c r="K152" s="16"/>
      <c r="L152" s="16" t="str">
        <f>IFERROR(VLOOKUP(K152,Parâmetros!$J$15:$K$18,2,FALSE),"")</f>
        <v/>
      </c>
      <c r="M152" s="17" t="str">
        <f>IF(COUNTA(E152,G152,I152,K152)&lt;4,"",F152*Parâmetros!$B$7+H152*Parâmetros!$B$8+J152*Parâmetros!$B$9+L152*Parâmetros!$B$10)</f>
        <v/>
      </c>
      <c r="N152" s="16" t="str">
        <f>IF(M152="","",IFERROR(VLOOKUP(M152,Parâmetros!$M$15:$O$17,2,TRUE),""))</f>
        <v/>
      </c>
      <c r="O152" s="18" t="str">
        <f>IF(N152="","",VLOOKUP(N152,Parâmetros!$N$15:$O$17,2,FALSE))</f>
        <v/>
      </c>
      <c r="P152" s="18" t="str">
        <f>IF(O152="","",O152*VLOOKUP(N152,Parâmetros!$N$15:$P$17,3,FALSE))</f>
        <v/>
      </c>
      <c r="Q152" s="18" t="str">
        <f>IF(O152="","",O152*VLOOKUP(N152,Parâmetros!$N$15:$Q$17,4,FALSE))</f>
        <v/>
      </c>
      <c r="R152" s="15"/>
    </row>
    <row r="153" spans="1:18">
      <c r="A153" s="15"/>
      <c r="B153" s="15"/>
      <c r="C153" s="15"/>
      <c r="D153" s="15"/>
      <c r="E153" s="15"/>
      <c r="F153" s="16" t="str">
        <f>IFERROR(VLOOKUP(E153,Parâmetros!$A$15:$B$18,2,FALSE),"")</f>
        <v/>
      </c>
      <c r="G153" s="16"/>
      <c r="H153" s="16" t="str">
        <f>IFERROR(VLOOKUP(G153,Parâmetros!$D$15:$E$18,2,FALSE),"")</f>
        <v/>
      </c>
      <c r="I153" s="16"/>
      <c r="J153" s="16" t="str">
        <f>IFERROR(VLOOKUP(I153,Parâmetros!$G$15:$H$18,2,FALSE),"")</f>
        <v/>
      </c>
      <c r="K153" s="16"/>
      <c r="L153" s="16" t="str">
        <f>IFERROR(VLOOKUP(K153,Parâmetros!$J$15:$K$18,2,FALSE),"")</f>
        <v/>
      </c>
      <c r="M153" s="17" t="str">
        <f>IF(COUNTA(E153,G153,I153,K153)&lt;4,"",F153*Parâmetros!$B$7+H153*Parâmetros!$B$8+J153*Parâmetros!$B$9+L153*Parâmetros!$B$10)</f>
        <v/>
      </c>
      <c r="N153" s="16" t="str">
        <f>IF(M153="","",IFERROR(VLOOKUP(M153,Parâmetros!$M$15:$O$17,2,TRUE),""))</f>
        <v/>
      </c>
      <c r="O153" s="18" t="str">
        <f>IF(N153="","",VLOOKUP(N153,Parâmetros!$N$15:$O$17,2,FALSE))</f>
        <v/>
      </c>
      <c r="P153" s="18" t="str">
        <f>IF(O153="","",O153*VLOOKUP(N153,Parâmetros!$N$15:$P$17,3,FALSE))</f>
        <v/>
      </c>
      <c r="Q153" s="18" t="str">
        <f>IF(O153="","",O153*VLOOKUP(N153,Parâmetros!$N$15:$Q$17,4,FALSE))</f>
        <v/>
      </c>
      <c r="R153" s="15"/>
    </row>
    <row r="154" spans="1:18">
      <c r="A154" s="15"/>
      <c r="B154" s="15"/>
      <c r="C154" s="15"/>
      <c r="D154" s="15"/>
      <c r="E154" s="15"/>
      <c r="F154" s="16" t="str">
        <f>IFERROR(VLOOKUP(E154,Parâmetros!$A$15:$B$18,2,FALSE),"")</f>
        <v/>
      </c>
      <c r="G154" s="16"/>
      <c r="H154" s="16" t="str">
        <f>IFERROR(VLOOKUP(G154,Parâmetros!$D$15:$E$18,2,FALSE),"")</f>
        <v/>
      </c>
      <c r="I154" s="16"/>
      <c r="J154" s="16" t="str">
        <f>IFERROR(VLOOKUP(I154,Parâmetros!$G$15:$H$18,2,FALSE),"")</f>
        <v/>
      </c>
      <c r="K154" s="16"/>
      <c r="L154" s="16" t="str">
        <f>IFERROR(VLOOKUP(K154,Parâmetros!$J$15:$K$18,2,FALSE),"")</f>
        <v/>
      </c>
      <c r="M154" s="17" t="str">
        <f>IF(COUNTA(E154,G154,I154,K154)&lt;4,"",F154*Parâmetros!$B$7+H154*Parâmetros!$B$8+J154*Parâmetros!$B$9+L154*Parâmetros!$B$10)</f>
        <v/>
      </c>
      <c r="N154" s="16" t="str">
        <f>IF(M154="","",IFERROR(VLOOKUP(M154,Parâmetros!$M$15:$O$17,2,TRUE),""))</f>
        <v/>
      </c>
      <c r="O154" s="18" t="str">
        <f>IF(N154="","",VLOOKUP(N154,Parâmetros!$N$15:$O$17,2,FALSE))</f>
        <v/>
      </c>
      <c r="P154" s="18" t="str">
        <f>IF(O154="","",O154*VLOOKUP(N154,Parâmetros!$N$15:$P$17,3,FALSE))</f>
        <v/>
      </c>
      <c r="Q154" s="18" t="str">
        <f>IF(O154="","",O154*VLOOKUP(N154,Parâmetros!$N$15:$Q$17,4,FALSE))</f>
        <v/>
      </c>
      <c r="R154" s="15"/>
    </row>
    <row r="155" spans="1:18">
      <c r="A155" s="15"/>
      <c r="B155" s="15"/>
      <c r="C155" s="15"/>
      <c r="D155" s="15"/>
      <c r="E155" s="15"/>
      <c r="F155" s="16" t="str">
        <f>IFERROR(VLOOKUP(E155,Parâmetros!$A$15:$B$18,2,FALSE),"")</f>
        <v/>
      </c>
      <c r="G155" s="16"/>
      <c r="H155" s="16" t="str">
        <f>IFERROR(VLOOKUP(G155,Parâmetros!$D$15:$E$18,2,FALSE),"")</f>
        <v/>
      </c>
      <c r="I155" s="16"/>
      <c r="J155" s="16" t="str">
        <f>IFERROR(VLOOKUP(I155,Parâmetros!$G$15:$H$18,2,FALSE),"")</f>
        <v/>
      </c>
      <c r="K155" s="16"/>
      <c r="L155" s="16" t="str">
        <f>IFERROR(VLOOKUP(K155,Parâmetros!$J$15:$K$18,2,FALSE),"")</f>
        <v/>
      </c>
      <c r="M155" s="17" t="str">
        <f>IF(COUNTA(E155,G155,I155,K155)&lt;4,"",F155*Parâmetros!$B$7+H155*Parâmetros!$B$8+J155*Parâmetros!$B$9+L155*Parâmetros!$B$10)</f>
        <v/>
      </c>
      <c r="N155" s="16" t="str">
        <f>IF(M155="","",IFERROR(VLOOKUP(M155,Parâmetros!$M$15:$O$17,2,TRUE),""))</f>
        <v/>
      </c>
      <c r="O155" s="18" t="str">
        <f>IF(N155="","",VLOOKUP(N155,Parâmetros!$N$15:$O$17,2,FALSE))</f>
        <v/>
      </c>
      <c r="P155" s="18" t="str">
        <f>IF(O155="","",O155*VLOOKUP(N155,Parâmetros!$N$15:$P$17,3,FALSE))</f>
        <v/>
      </c>
      <c r="Q155" s="18" t="str">
        <f>IF(O155="","",O155*VLOOKUP(N155,Parâmetros!$N$15:$Q$17,4,FALSE))</f>
        <v/>
      </c>
      <c r="R155" s="15"/>
    </row>
    <row r="156" spans="1:18">
      <c r="A156" s="15"/>
      <c r="B156" s="15"/>
      <c r="C156" s="15"/>
      <c r="D156" s="15"/>
      <c r="E156" s="15"/>
      <c r="F156" s="16" t="str">
        <f>IFERROR(VLOOKUP(E156,Parâmetros!$A$15:$B$18,2,FALSE),"")</f>
        <v/>
      </c>
      <c r="G156" s="16"/>
      <c r="H156" s="16" t="str">
        <f>IFERROR(VLOOKUP(G156,Parâmetros!$D$15:$E$18,2,FALSE),"")</f>
        <v/>
      </c>
      <c r="I156" s="16"/>
      <c r="J156" s="16" t="str">
        <f>IFERROR(VLOOKUP(I156,Parâmetros!$G$15:$H$18,2,FALSE),"")</f>
        <v/>
      </c>
      <c r="K156" s="16"/>
      <c r="L156" s="16" t="str">
        <f>IFERROR(VLOOKUP(K156,Parâmetros!$J$15:$K$18,2,FALSE),"")</f>
        <v/>
      </c>
      <c r="M156" s="17" t="str">
        <f>IF(COUNTA(E156,G156,I156,K156)&lt;4,"",F156*Parâmetros!$B$7+H156*Parâmetros!$B$8+J156*Parâmetros!$B$9+L156*Parâmetros!$B$10)</f>
        <v/>
      </c>
      <c r="N156" s="16" t="str">
        <f>IF(M156="","",IFERROR(VLOOKUP(M156,Parâmetros!$M$15:$O$17,2,TRUE),""))</f>
        <v/>
      </c>
      <c r="O156" s="18" t="str">
        <f>IF(N156="","",VLOOKUP(N156,Parâmetros!$N$15:$O$17,2,FALSE))</f>
        <v/>
      </c>
      <c r="P156" s="18" t="str">
        <f>IF(O156="","",O156*VLOOKUP(N156,Parâmetros!$N$15:$P$17,3,FALSE))</f>
        <v/>
      </c>
      <c r="Q156" s="18" t="str">
        <f>IF(O156="","",O156*VLOOKUP(N156,Parâmetros!$N$15:$Q$17,4,FALSE))</f>
        <v/>
      </c>
      <c r="R156" s="15"/>
    </row>
    <row r="157" spans="1:18">
      <c r="A157" s="15"/>
      <c r="B157" s="15"/>
      <c r="C157" s="15"/>
      <c r="D157" s="15"/>
      <c r="E157" s="15"/>
      <c r="F157" s="16" t="str">
        <f>IFERROR(VLOOKUP(E157,Parâmetros!$A$15:$B$18,2,FALSE),"")</f>
        <v/>
      </c>
      <c r="G157" s="16"/>
      <c r="H157" s="16" t="str">
        <f>IFERROR(VLOOKUP(G157,Parâmetros!$D$15:$E$18,2,FALSE),"")</f>
        <v/>
      </c>
      <c r="I157" s="16"/>
      <c r="J157" s="16" t="str">
        <f>IFERROR(VLOOKUP(I157,Parâmetros!$G$15:$H$18,2,FALSE),"")</f>
        <v/>
      </c>
      <c r="K157" s="16"/>
      <c r="L157" s="16" t="str">
        <f>IFERROR(VLOOKUP(K157,Parâmetros!$J$15:$K$18,2,FALSE),"")</f>
        <v/>
      </c>
      <c r="M157" s="17" t="str">
        <f>IF(COUNTA(E157,G157,I157,K157)&lt;4,"",F157*Parâmetros!$B$7+H157*Parâmetros!$B$8+J157*Parâmetros!$B$9+L157*Parâmetros!$B$10)</f>
        <v/>
      </c>
      <c r="N157" s="16" t="str">
        <f>IF(M157="","",IFERROR(VLOOKUP(M157,Parâmetros!$M$15:$O$17,2,TRUE),""))</f>
        <v/>
      </c>
      <c r="O157" s="18" t="str">
        <f>IF(N157="","",VLOOKUP(N157,Parâmetros!$N$15:$O$17,2,FALSE))</f>
        <v/>
      </c>
      <c r="P157" s="18" t="str">
        <f>IF(O157="","",O157*VLOOKUP(N157,Parâmetros!$N$15:$P$17,3,FALSE))</f>
        <v/>
      </c>
      <c r="Q157" s="18" t="str">
        <f>IF(O157="","",O157*VLOOKUP(N157,Parâmetros!$N$15:$Q$17,4,FALSE))</f>
        <v/>
      </c>
      <c r="R157" s="15"/>
    </row>
    <row r="158" spans="1:18">
      <c r="A158" s="15"/>
      <c r="B158" s="15"/>
      <c r="C158" s="15"/>
      <c r="D158" s="15"/>
      <c r="E158" s="15"/>
      <c r="F158" s="16" t="str">
        <f>IFERROR(VLOOKUP(E158,Parâmetros!$A$15:$B$18,2,FALSE),"")</f>
        <v/>
      </c>
      <c r="G158" s="16"/>
      <c r="H158" s="16" t="str">
        <f>IFERROR(VLOOKUP(G158,Parâmetros!$D$15:$E$18,2,FALSE),"")</f>
        <v/>
      </c>
      <c r="I158" s="16"/>
      <c r="J158" s="16" t="str">
        <f>IFERROR(VLOOKUP(I158,Parâmetros!$G$15:$H$18,2,FALSE),"")</f>
        <v/>
      </c>
      <c r="K158" s="16"/>
      <c r="L158" s="16" t="str">
        <f>IFERROR(VLOOKUP(K158,Parâmetros!$J$15:$K$18,2,FALSE),"")</f>
        <v/>
      </c>
      <c r="M158" s="17" t="str">
        <f>IF(COUNTA(E158,G158,I158,K158)&lt;4,"",F158*Parâmetros!$B$7+H158*Parâmetros!$B$8+J158*Parâmetros!$B$9+L158*Parâmetros!$B$10)</f>
        <v/>
      </c>
      <c r="N158" s="16" t="str">
        <f>IF(M158="","",IFERROR(VLOOKUP(M158,Parâmetros!$M$15:$O$17,2,TRUE),""))</f>
        <v/>
      </c>
      <c r="O158" s="18" t="str">
        <f>IF(N158="","",VLOOKUP(N158,Parâmetros!$N$15:$O$17,2,FALSE))</f>
        <v/>
      </c>
      <c r="P158" s="18" t="str">
        <f>IF(O158="","",O158*VLOOKUP(N158,Parâmetros!$N$15:$P$17,3,FALSE))</f>
        <v/>
      </c>
      <c r="Q158" s="18" t="str">
        <f>IF(O158="","",O158*VLOOKUP(N158,Parâmetros!$N$15:$Q$17,4,FALSE))</f>
        <v/>
      </c>
      <c r="R158" s="15"/>
    </row>
    <row r="159" spans="1:18">
      <c r="A159" s="15"/>
      <c r="B159" s="15"/>
      <c r="C159" s="15"/>
      <c r="D159" s="15"/>
      <c r="E159" s="15"/>
      <c r="F159" s="16" t="str">
        <f>IFERROR(VLOOKUP(E159,Parâmetros!$A$15:$B$18,2,FALSE),"")</f>
        <v/>
      </c>
      <c r="G159" s="16"/>
      <c r="H159" s="16" t="str">
        <f>IFERROR(VLOOKUP(G159,Parâmetros!$D$15:$E$18,2,FALSE),"")</f>
        <v/>
      </c>
      <c r="I159" s="16"/>
      <c r="J159" s="16" t="str">
        <f>IFERROR(VLOOKUP(I159,Parâmetros!$G$15:$H$18,2,FALSE),"")</f>
        <v/>
      </c>
      <c r="K159" s="16"/>
      <c r="L159" s="16" t="str">
        <f>IFERROR(VLOOKUP(K159,Parâmetros!$J$15:$K$18,2,FALSE),"")</f>
        <v/>
      </c>
      <c r="M159" s="17" t="str">
        <f>IF(COUNTA(E159,G159,I159,K159)&lt;4,"",F159*Parâmetros!$B$7+H159*Parâmetros!$B$8+J159*Parâmetros!$B$9+L159*Parâmetros!$B$10)</f>
        <v/>
      </c>
      <c r="N159" s="16" t="str">
        <f>IF(M159="","",IFERROR(VLOOKUP(M159,Parâmetros!$M$15:$O$17,2,TRUE),""))</f>
        <v/>
      </c>
      <c r="O159" s="18" t="str">
        <f>IF(N159="","",VLOOKUP(N159,Parâmetros!$N$15:$O$17,2,FALSE))</f>
        <v/>
      </c>
      <c r="P159" s="18" t="str">
        <f>IF(O159="","",O159*VLOOKUP(N159,Parâmetros!$N$15:$P$17,3,FALSE))</f>
        <v/>
      </c>
      <c r="Q159" s="18" t="str">
        <f>IF(O159="","",O159*VLOOKUP(N159,Parâmetros!$N$15:$Q$17,4,FALSE))</f>
        <v/>
      </c>
      <c r="R159" s="15"/>
    </row>
    <row r="160" spans="1:18">
      <c r="A160" s="15"/>
      <c r="B160" s="15"/>
      <c r="C160" s="15"/>
      <c r="D160" s="15"/>
      <c r="E160" s="15"/>
      <c r="F160" s="16" t="str">
        <f>IFERROR(VLOOKUP(E160,Parâmetros!$A$15:$B$18,2,FALSE),"")</f>
        <v/>
      </c>
      <c r="G160" s="16"/>
      <c r="H160" s="16" t="str">
        <f>IFERROR(VLOOKUP(G160,Parâmetros!$D$15:$E$18,2,FALSE),"")</f>
        <v/>
      </c>
      <c r="I160" s="16"/>
      <c r="J160" s="16" t="str">
        <f>IFERROR(VLOOKUP(I160,Parâmetros!$G$15:$H$18,2,FALSE),"")</f>
        <v/>
      </c>
      <c r="K160" s="16"/>
      <c r="L160" s="16" t="str">
        <f>IFERROR(VLOOKUP(K160,Parâmetros!$J$15:$K$18,2,FALSE),"")</f>
        <v/>
      </c>
      <c r="M160" s="17" t="str">
        <f>IF(COUNTA(E160,G160,I160,K160)&lt;4,"",F160*Parâmetros!$B$7+H160*Parâmetros!$B$8+J160*Parâmetros!$B$9+L160*Parâmetros!$B$10)</f>
        <v/>
      </c>
      <c r="N160" s="16" t="str">
        <f>IF(M160="","",IFERROR(VLOOKUP(M160,Parâmetros!$M$15:$O$17,2,TRUE),""))</f>
        <v/>
      </c>
      <c r="O160" s="18" t="str">
        <f>IF(N160="","",VLOOKUP(N160,Parâmetros!$N$15:$O$17,2,FALSE))</f>
        <v/>
      </c>
      <c r="P160" s="18" t="str">
        <f>IF(O160="","",O160*VLOOKUP(N160,Parâmetros!$N$15:$P$17,3,FALSE))</f>
        <v/>
      </c>
      <c r="Q160" s="18" t="str">
        <f>IF(O160="","",O160*VLOOKUP(N160,Parâmetros!$N$15:$Q$17,4,FALSE))</f>
        <v/>
      </c>
      <c r="R160" s="15"/>
    </row>
    <row r="161" spans="1:18">
      <c r="A161" s="15"/>
      <c r="B161" s="15"/>
      <c r="C161" s="15"/>
      <c r="D161" s="15"/>
      <c r="E161" s="15"/>
      <c r="F161" s="16" t="str">
        <f>IFERROR(VLOOKUP(E161,Parâmetros!$A$15:$B$18,2,FALSE),"")</f>
        <v/>
      </c>
      <c r="G161" s="16"/>
      <c r="H161" s="16" t="str">
        <f>IFERROR(VLOOKUP(G161,Parâmetros!$D$15:$E$18,2,FALSE),"")</f>
        <v/>
      </c>
      <c r="I161" s="16"/>
      <c r="J161" s="16" t="str">
        <f>IFERROR(VLOOKUP(I161,Parâmetros!$G$15:$H$18,2,FALSE),"")</f>
        <v/>
      </c>
      <c r="K161" s="16"/>
      <c r="L161" s="16" t="str">
        <f>IFERROR(VLOOKUP(K161,Parâmetros!$J$15:$K$18,2,FALSE),"")</f>
        <v/>
      </c>
      <c r="M161" s="17" t="str">
        <f>IF(COUNTA(E161,G161,I161,K161)&lt;4,"",F161*Parâmetros!$B$7+H161*Parâmetros!$B$8+J161*Parâmetros!$B$9+L161*Parâmetros!$B$10)</f>
        <v/>
      </c>
      <c r="N161" s="16" t="str">
        <f>IF(M161="","",IFERROR(VLOOKUP(M161,Parâmetros!$M$15:$O$17,2,TRUE),""))</f>
        <v/>
      </c>
      <c r="O161" s="18" t="str">
        <f>IF(N161="","",VLOOKUP(N161,Parâmetros!$N$15:$O$17,2,FALSE))</f>
        <v/>
      </c>
      <c r="P161" s="18" t="str">
        <f>IF(O161="","",O161*VLOOKUP(N161,Parâmetros!$N$15:$P$17,3,FALSE))</f>
        <v/>
      </c>
      <c r="Q161" s="18" t="str">
        <f>IF(O161="","",O161*VLOOKUP(N161,Parâmetros!$N$15:$Q$17,4,FALSE))</f>
        <v/>
      </c>
      <c r="R161" s="15"/>
    </row>
    <row r="162" spans="1:18">
      <c r="A162" s="15"/>
      <c r="B162" s="15"/>
      <c r="C162" s="15"/>
      <c r="D162" s="15"/>
      <c r="E162" s="15"/>
      <c r="F162" s="16" t="str">
        <f>IFERROR(VLOOKUP(E162,Parâmetros!$A$15:$B$18,2,FALSE),"")</f>
        <v/>
      </c>
      <c r="G162" s="16"/>
      <c r="H162" s="16" t="str">
        <f>IFERROR(VLOOKUP(G162,Parâmetros!$D$15:$E$18,2,FALSE),"")</f>
        <v/>
      </c>
      <c r="I162" s="16"/>
      <c r="J162" s="16" t="str">
        <f>IFERROR(VLOOKUP(I162,Parâmetros!$G$15:$H$18,2,FALSE),"")</f>
        <v/>
      </c>
      <c r="K162" s="16"/>
      <c r="L162" s="16" t="str">
        <f>IFERROR(VLOOKUP(K162,Parâmetros!$J$15:$K$18,2,FALSE),"")</f>
        <v/>
      </c>
      <c r="M162" s="17" t="str">
        <f>IF(COUNTA(E162,G162,I162,K162)&lt;4,"",F162*Parâmetros!$B$7+H162*Parâmetros!$B$8+J162*Parâmetros!$B$9+L162*Parâmetros!$B$10)</f>
        <v/>
      </c>
      <c r="N162" s="16" t="str">
        <f>IF(M162="","",IFERROR(VLOOKUP(M162,Parâmetros!$M$15:$O$17,2,TRUE),""))</f>
        <v/>
      </c>
      <c r="O162" s="18" t="str">
        <f>IF(N162="","",VLOOKUP(N162,Parâmetros!$N$15:$O$17,2,FALSE))</f>
        <v/>
      </c>
      <c r="P162" s="18" t="str">
        <f>IF(O162="","",O162*VLOOKUP(N162,Parâmetros!$N$15:$P$17,3,FALSE))</f>
        <v/>
      </c>
      <c r="Q162" s="18" t="str">
        <f>IF(O162="","",O162*VLOOKUP(N162,Parâmetros!$N$15:$Q$17,4,FALSE))</f>
        <v/>
      </c>
      <c r="R162" s="15"/>
    </row>
    <row r="163" spans="1:18">
      <c r="A163" s="15"/>
      <c r="B163" s="15"/>
      <c r="C163" s="15"/>
      <c r="D163" s="15"/>
      <c r="E163" s="15"/>
      <c r="F163" s="16" t="str">
        <f>IFERROR(VLOOKUP(E163,Parâmetros!$A$15:$B$18,2,FALSE),"")</f>
        <v/>
      </c>
      <c r="G163" s="16"/>
      <c r="H163" s="16" t="str">
        <f>IFERROR(VLOOKUP(G163,Parâmetros!$D$15:$E$18,2,FALSE),"")</f>
        <v/>
      </c>
      <c r="I163" s="16"/>
      <c r="J163" s="16" t="str">
        <f>IFERROR(VLOOKUP(I163,Parâmetros!$G$15:$H$18,2,FALSE),"")</f>
        <v/>
      </c>
      <c r="K163" s="16"/>
      <c r="L163" s="16" t="str">
        <f>IFERROR(VLOOKUP(K163,Parâmetros!$J$15:$K$18,2,FALSE),"")</f>
        <v/>
      </c>
      <c r="M163" s="17" t="str">
        <f>IF(COUNTA(E163,G163,I163,K163)&lt;4,"",F163*Parâmetros!$B$7+H163*Parâmetros!$B$8+J163*Parâmetros!$B$9+L163*Parâmetros!$B$10)</f>
        <v/>
      </c>
      <c r="N163" s="16" t="str">
        <f>IF(M163="","",IFERROR(VLOOKUP(M163,Parâmetros!$M$15:$O$17,2,TRUE),""))</f>
        <v/>
      </c>
      <c r="O163" s="18" t="str">
        <f>IF(N163="","",VLOOKUP(N163,Parâmetros!$N$15:$O$17,2,FALSE))</f>
        <v/>
      </c>
      <c r="P163" s="18" t="str">
        <f>IF(O163="","",O163*VLOOKUP(N163,Parâmetros!$N$15:$P$17,3,FALSE))</f>
        <v/>
      </c>
      <c r="Q163" s="18" t="str">
        <f>IF(O163="","",O163*VLOOKUP(N163,Parâmetros!$N$15:$Q$17,4,FALSE))</f>
        <v/>
      </c>
      <c r="R163" s="15"/>
    </row>
    <row r="164" spans="1:18">
      <c r="A164" s="15"/>
      <c r="B164" s="15"/>
      <c r="C164" s="15"/>
      <c r="D164" s="15"/>
      <c r="E164" s="15"/>
      <c r="F164" s="16" t="str">
        <f>IFERROR(VLOOKUP(E164,Parâmetros!$A$15:$B$18,2,FALSE),"")</f>
        <v/>
      </c>
      <c r="G164" s="16"/>
      <c r="H164" s="16" t="str">
        <f>IFERROR(VLOOKUP(G164,Parâmetros!$D$15:$E$18,2,FALSE),"")</f>
        <v/>
      </c>
      <c r="I164" s="16"/>
      <c r="J164" s="16" t="str">
        <f>IFERROR(VLOOKUP(I164,Parâmetros!$G$15:$H$18,2,FALSE),"")</f>
        <v/>
      </c>
      <c r="K164" s="16"/>
      <c r="L164" s="16" t="str">
        <f>IFERROR(VLOOKUP(K164,Parâmetros!$J$15:$K$18,2,FALSE),"")</f>
        <v/>
      </c>
      <c r="M164" s="17" t="str">
        <f>IF(COUNTA(E164,G164,I164,K164)&lt;4,"",F164*Parâmetros!$B$7+H164*Parâmetros!$B$8+J164*Parâmetros!$B$9+L164*Parâmetros!$B$10)</f>
        <v/>
      </c>
      <c r="N164" s="16" t="str">
        <f>IF(M164="","",IFERROR(VLOOKUP(M164,Parâmetros!$M$15:$O$17,2,TRUE),""))</f>
        <v/>
      </c>
      <c r="O164" s="18" t="str">
        <f>IF(N164="","",VLOOKUP(N164,Parâmetros!$N$15:$O$17,2,FALSE))</f>
        <v/>
      </c>
      <c r="P164" s="18" t="str">
        <f>IF(O164="","",O164*VLOOKUP(N164,Parâmetros!$N$15:$P$17,3,FALSE))</f>
        <v/>
      </c>
      <c r="Q164" s="18" t="str">
        <f>IF(O164="","",O164*VLOOKUP(N164,Parâmetros!$N$15:$Q$17,4,FALSE))</f>
        <v/>
      </c>
      <c r="R164" s="15"/>
    </row>
    <row r="165" spans="1:18">
      <c r="A165" s="15"/>
      <c r="B165" s="15"/>
      <c r="C165" s="15"/>
      <c r="D165" s="15"/>
      <c r="E165" s="15"/>
      <c r="F165" s="16" t="str">
        <f>IFERROR(VLOOKUP(E165,Parâmetros!$A$15:$B$18,2,FALSE),"")</f>
        <v/>
      </c>
      <c r="G165" s="16"/>
      <c r="H165" s="16" t="str">
        <f>IFERROR(VLOOKUP(G165,Parâmetros!$D$15:$E$18,2,FALSE),"")</f>
        <v/>
      </c>
      <c r="I165" s="16"/>
      <c r="J165" s="16" t="str">
        <f>IFERROR(VLOOKUP(I165,Parâmetros!$G$15:$H$18,2,FALSE),"")</f>
        <v/>
      </c>
      <c r="K165" s="16"/>
      <c r="L165" s="16" t="str">
        <f>IFERROR(VLOOKUP(K165,Parâmetros!$J$15:$K$18,2,FALSE),"")</f>
        <v/>
      </c>
      <c r="M165" s="17" t="str">
        <f>IF(COUNTA(E165,G165,I165,K165)&lt;4,"",F165*Parâmetros!$B$7+H165*Parâmetros!$B$8+J165*Parâmetros!$B$9+L165*Parâmetros!$B$10)</f>
        <v/>
      </c>
      <c r="N165" s="16" t="str">
        <f>IF(M165="","",IFERROR(VLOOKUP(M165,Parâmetros!$M$15:$O$17,2,TRUE),""))</f>
        <v/>
      </c>
      <c r="O165" s="18" t="str">
        <f>IF(N165="","",VLOOKUP(N165,Parâmetros!$N$15:$O$17,2,FALSE))</f>
        <v/>
      </c>
      <c r="P165" s="18" t="str">
        <f>IF(O165="","",O165*VLOOKUP(N165,Parâmetros!$N$15:$P$17,3,FALSE))</f>
        <v/>
      </c>
      <c r="Q165" s="18" t="str">
        <f>IF(O165="","",O165*VLOOKUP(N165,Parâmetros!$N$15:$Q$17,4,FALSE))</f>
        <v/>
      </c>
      <c r="R165" s="15"/>
    </row>
    <row r="166" spans="1:18">
      <c r="A166" s="15"/>
      <c r="B166" s="15"/>
      <c r="C166" s="15"/>
      <c r="D166" s="15"/>
      <c r="E166" s="15"/>
      <c r="F166" s="16" t="str">
        <f>IFERROR(VLOOKUP(E166,Parâmetros!$A$15:$B$18,2,FALSE),"")</f>
        <v/>
      </c>
      <c r="G166" s="16"/>
      <c r="H166" s="16" t="str">
        <f>IFERROR(VLOOKUP(G166,Parâmetros!$D$15:$E$18,2,FALSE),"")</f>
        <v/>
      </c>
      <c r="I166" s="16"/>
      <c r="J166" s="16" t="str">
        <f>IFERROR(VLOOKUP(I166,Parâmetros!$G$15:$H$18,2,FALSE),"")</f>
        <v/>
      </c>
      <c r="K166" s="16"/>
      <c r="L166" s="16" t="str">
        <f>IFERROR(VLOOKUP(K166,Parâmetros!$J$15:$K$18,2,FALSE),"")</f>
        <v/>
      </c>
      <c r="M166" s="17" t="str">
        <f>IF(COUNTA(E166,G166,I166,K166)&lt;4,"",F166*Parâmetros!$B$7+H166*Parâmetros!$B$8+J166*Parâmetros!$B$9+L166*Parâmetros!$B$10)</f>
        <v/>
      </c>
      <c r="N166" s="16" t="str">
        <f>IF(M166="","",IFERROR(VLOOKUP(M166,Parâmetros!$M$15:$O$17,2,TRUE),""))</f>
        <v/>
      </c>
      <c r="O166" s="18" t="str">
        <f>IF(N166="","",VLOOKUP(N166,Parâmetros!$N$15:$O$17,2,FALSE))</f>
        <v/>
      </c>
      <c r="P166" s="18" t="str">
        <f>IF(O166="","",O166*VLOOKUP(N166,Parâmetros!$N$15:$P$17,3,FALSE))</f>
        <v/>
      </c>
      <c r="Q166" s="18" t="str">
        <f>IF(O166="","",O166*VLOOKUP(N166,Parâmetros!$N$15:$Q$17,4,FALSE))</f>
        <v/>
      </c>
      <c r="R166" s="15"/>
    </row>
    <row r="167" spans="1:18">
      <c r="A167" s="15"/>
      <c r="B167" s="15"/>
      <c r="C167" s="15"/>
      <c r="D167" s="15"/>
      <c r="E167" s="15"/>
      <c r="F167" s="16" t="str">
        <f>IFERROR(VLOOKUP(E167,Parâmetros!$A$15:$B$18,2,FALSE),"")</f>
        <v/>
      </c>
      <c r="G167" s="16"/>
      <c r="H167" s="16" t="str">
        <f>IFERROR(VLOOKUP(G167,Parâmetros!$D$15:$E$18,2,FALSE),"")</f>
        <v/>
      </c>
      <c r="I167" s="16"/>
      <c r="J167" s="16" t="str">
        <f>IFERROR(VLOOKUP(I167,Parâmetros!$G$15:$H$18,2,FALSE),"")</f>
        <v/>
      </c>
      <c r="K167" s="16"/>
      <c r="L167" s="16" t="str">
        <f>IFERROR(VLOOKUP(K167,Parâmetros!$J$15:$K$18,2,FALSE),"")</f>
        <v/>
      </c>
      <c r="M167" s="17" t="str">
        <f>IF(COUNTA(E167,G167,I167,K167)&lt;4,"",F167*Parâmetros!$B$7+H167*Parâmetros!$B$8+J167*Parâmetros!$B$9+L167*Parâmetros!$B$10)</f>
        <v/>
      </c>
      <c r="N167" s="16" t="str">
        <f>IF(M167="","",IFERROR(VLOOKUP(M167,Parâmetros!$M$15:$O$17,2,TRUE),""))</f>
        <v/>
      </c>
      <c r="O167" s="18" t="str">
        <f>IF(N167="","",VLOOKUP(N167,Parâmetros!$N$15:$O$17,2,FALSE))</f>
        <v/>
      </c>
      <c r="P167" s="18" t="str">
        <f>IF(O167="","",O167*VLOOKUP(N167,Parâmetros!$N$15:$P$17,3,FALSE))</f>
        <v/>
      </c>
      <c r="Q167" s="18" t="str">
        <f>IF(O167="","",O167*VLOOKUP(N167,Parâmetros!$N$15:$Q$17,4,FALSE))</f>
        <v/>
      </c>
      <c r="R167" s="15"/>
    </row>
    <row r="168" spans="1:18">
      <c r="A168" s="15"/>
      <c r="B168" s="15"/>
      <c r="C168" s="15"/>
      <c r="D168" s="15"/>
      <c r="E168" s="15"/>
      <c r="F168" s="16" t="str">
        <f>IFERROR(VLOOKUP(E168,Parâmetros!$A$15:$B$18,2,FALSE),"")</f>
        <v/>
      </c>
      <c r="G168" s="16"/>
      <c r="H168" s="16" t="str">
        <f>IFERROR(VLOOKUP(G168,Parâmetros!$D$15:$E$18,2,FALSE),"")</f>
        <v/>
      </c>
      <c r="I168" s="16"/>
      <c r="J168" s="16" t="str">
        <f>IFERROR(VLOOKUP(I168,Parâmetros!$G$15:$H$18,2,FALSE),"")</f>
        <v/>
      </c>
      <c r="K168" s="16"/>
      <c r="L168" s="16" t="str">
        <f>IFERROR(VLOOKUP(K168,Parâmetros!$J$15:$K$18,2,FALSE),"")</f>
        <v/>
      </c>
      <c r="M168" s="17" t="str">
        <f>IF(COUNTA(E168,G168,I168,K168)&lt;4,"",F168*Parâmetros!$B$7+H168*Parâmetros!$B$8+J168*Parâmetros!$B$9+L168*Parâmetros!$B$10)</f>
        <v/>
      </c>
      <c r="N168" s="16" t="str">
        <f>IF(M168="","",IFERROR(VLOOKUP(M168,Parâmetros!$M$15:$O$17,2,TRUE),""))</f>
        <v/>
      </c>
      <c r="O168" s="18" t="str">
        <f>IF(N168="","",VLOOKUP(N168,Parâmetros!$N$15:$O$17,2,FALSE))</f>
        <v/>
      </c>
      <c r="P168" s="18" t="str">
        <f>IF(O168="","",O168*VLOOKUP(N168,Parâmetros!$N$15:$P$17,3,FALSE))</f>
        <v/>
      </c>
      <c r="Q168" s="18" t="str">
        <f>IF(O168="","",O168*VLOOKUP(N168,Parâmetros!$N$15:$Q$17,4,FALSE))</f>
        <v/>
      </c>
      <c r="R168" s="15"/>
    </row>
    <row r="169" spans="1:18">
      <c r="A169" s="15"/>
      <c r="B169" s="15"/>
      <c r="C169" s="15"/>
      <c r="D169" s="15"/>
      <c r="E169" s="15"/>
      <c r="F169" s="16" t="str">
        <f>IFERROR(VLOOKUP(E169,Parâmetros!$A$15:$B$18,2,FALSE),"")</f>
        <v/>
      </c>
      <c r="G169" s="16"/>
      <c r="H169" s="16" t="str">
        <f>IFERROR(VLOOKUP(G169,Parâmetros!$D$15:$E$18,2,FALSE),"")</f>
        <v/>
      </c>
      <c r="I169" s="16"/>
      <c r="J169" s="16" t="str">
        <f>IFERROR(VLOOKUP(I169,Parâmetros!$G$15:$H$18,2,FALSE),"")</f>
        <v/>
      </c>
      <c r="K169" s="16"/>
      <c r="L169" s="16" t="str">
        <f>IFERROR(VLOOKUP(K169,Parâmetros!$J$15:$K$18,2,FALSE),"")</f>
        <v/>
      </c>
      <c r="M169" s="17" t="str">
        <f>IF(COUNTA(E169,G169,I169,K169)&lt;4,"",F169*Parâmetros!$B$7+H169*Parâmetros!$B$8+J169*Parâmetros!$B$9+L169*Parâmetros!$B$10)</f>
        <v/>
      </c>
      <c r="N169" s="16" t="str">
        <f>IF(M169="","",IFERROR(VLOOKUP(M169,Parâmetros!$M$15:$O$17,2,TRUE),""))</f>
        <v/>
      </c>
      <c r="O169" s="18" t="str">
        <f>IF(N169="","",VLOOKUP(N169,Parâmetros!$N$15:$O$17,2,FALSE))</f>
        <v/>
      </c>
      <c r="P169" s="18" t="str">
        <f>IF(O169="","",O169*VLOOKUP(N169,Parâmetros!$N$15:$P$17,3,FALSE))</f>
        <v/>
      </c>
      <c r="Q169" s="18" t="str">
        <f>IF(O169="","",O169*VLOOKUP(N169,Parâmetros!$N$15:$Q$17,4,FALSE))</f>
        <v/>
      </c>
      <c r="R169" s="15"/>
    </row>
    <row r="170" spans="1:18">
      <c r="A170" s="15"/>
      <c r="B170" s="15"/>
      <c r="C170" s="15"/>
      <c r="D170" s="15"/>
      <c r="E170" s="15"/>
      <c r="F170" s="16" t="str">
        <f>IFERROR(VLOOKUP(E170,Parâmetros!$A$15:$B$18,2,FALSE),"")</f>
        <v/>
      </c>
      <c r="G170" s="16"/>
      <c r="H170" s="16" t="str">
        <f>IFERROR(VLOOKUP(G170,Parâmetros!$D$15:$E$18,2,FALSE),"")</f>
        <v/>
      </c>
      <c r="I170" s="16"/>
      <c r="J170" s="16" t="str">
        <f>IFERROR(VLOOKUP(I170,Parâmetros!$G$15:$H$18,2,FALSE),"")</f>
        <v/>
      </c>
      <c r="K170" s="16"/>
      <c r="L170" s="16" t="str">
        <f>IFERROR(VLOOKUP(K170,Parâmetros!$J$15:$K$18,2,FALSE),"")</f>
        <v/>
      </c>
      <c r="M170" s="17" t="str">
        <f>IF(COUNTA(E170,G170,I170,K170)&lt;4,"",F170*Parâmetros!$B$7+H170*Parâmetros!$B$8+J170*Parâmetros!$B$9+L170*Parâmetros!$B$10)</f>
        <v/>
      </c>
      <c r="N170" s="16" t="str">
        <f>IF(M170="","",IFERROR(VLOOKUP(M170,Parâmetros!$M$15:$O$17,2,TRUE),""))</f>
        <v/>
      </c>
      <c r="O170" s="18" t="str">
        <f>IF(N170="","",VLOOKUP(N170,Parâmetros!$N$15:$O$17,2,FALSE))</f>
        <v/>
      </c>
      <c r="P170" s="18" t="str">
        <f>IF(O170="","",O170*VLOOKUP(N170,Parâmetros!$N$15:$P$17,3,FALSE))</f>
        <v/>
      </c>
      <c r="Q170" s="18" t="str">
        <f>IF(O170="","",O170*VLOOKUP(N170,Parâmetros!$N$15:$Q$17,4,FALSE))</f>
        <v/>
      </c>
      <c r="R170" s="15"/>
    </row>
    <row r="171" spans="1:18">
      <c r="A171" s="15"/>
      <c r="B171" s="15"/>
      <c r="C171" s="15"/>
      <c r="D171" s="15"/>
      <c r="E171" s="15"/>
      <c r="F171" s="16" t="str">
        <f>IFERROR(VLOOKUP(E171,Parâmetros!$A$15:$B$18,2,FALSE),"")</f>
        <v/>
      </c>
      <c r="G171" s="16"/>
      <c r="H171" s="16" t="str">
        <f>IFERROR(VLOOKUP(G171,Parâmetros!$D$15:$E$18,2,FALSE),"")</f>
        <v/>
      </c>
      <c r="I171" s="16"/>
      <c r="J171" s="16" t="str">
        <f>IFERROR(VLOOKUP(I171,Parâmetros!$G$15:$H$18,2,FALSE),"")</f>
        <v/>
      </c>
      <c r="K171" s="16"/>
      <c r="L171" s="16" t="str">
        <f>IFERROR(VLOOKUP(K171,Parâmetros!$J$15:$K$18,2,FALSE),"")</f>
        <v/>
      </c>
      <c r="M171" s="17" t="str">
        <f>IF(COUNTA(E171,G171,I171,K171)&lt;4,"",F171*Parâmetros!$B$7+H171*Parâmetros!$B$8+J171*Parâmetros!$B$9+L171*Parâmetros!$B$10)</f>
        <v/>
      </c>
      <c r="N171" s="16" t="str">
        <f>IF(M171="","",IFERROR(VLOOKUP(M171,Parâmetros!$M$15:$O$17,2,TRUE),""))</f>
        <v/>
      </c>
      <c r="O171" s="18" t="str">
        <f>IF(N171="","",VLOOKUP(N171,Parâmetros!$N$15:$O$17,2,FALSE))</f>
        <v/>
      </c>
      <c r="P171" s="18" t="str">
        <f>IF(O171="","",O171*VLOOKUP(N171,Parâmetros!$N$15:$P$17,3,FALSE))</f>
        <v/>
      </c>
      <c r="Q171" s="18" t="str">
        <f>IF(O171="","",O171*VLOOKUP(N171,Parâmetros!$N$15:$Q$17,4,FALSE))</f>
        <v/>
      </c>
      <c r="R171" s="15"/>
    </row>
    <row r="172" spans="1:18">
      <c r="A172" s="15"/>
      <c r="B172" s="15"/>
      <c r="C172" s="15"/>
      <c r="D172" s="15"/>
      <c r="E172" s="15"/>
      <c r="F172" s="16" t="str">
        <f>IFERROR(VLOOKUP(E172,Parâmetros!$A$15:$B$18,2,FALSE),"")</f>
        <v/>
      </c>
      <c r="G172" s="16"/>
      <c r="H172" s="16" t="str">
        <f>IFERROR(VLOOKUP(G172,Parâmetros!$D$15:$E$18,2,FALSE),"")</f>
        <v/>
      </c>
      <c r="I172" s="16"/>
      <c r="J172" s="16" t="str">
        <f>IFERROR(VLOOKUP(I172,Parâmetros!$G$15:$H$18,2,FALSE),"")</f>
        <v/>
      </c>
      <c r="K172" s="16"/>
      <c r="L172" s="16" t="str">
        <f>IFERROR(VLOOKUP(K172,Parâmetros!$J$15:$K$18,2,FALSE),"")</f>
        <v/>
      </c>
      <c r="M172" s="17" t="str">
        <f>IF(COUNTA(E172,G172,I172,K172)&lt;4,"",F172*Parâmetros!$B$7+H172*Parâmetros!$B$8+J172*Parâmetros!$B$9+L172*Parâmetros!$B$10)</f>
        <v/>
      </c>
      <c r="N172" s="16" t="str">
        <f>IF(M172="","",IFERROR(VLOOKUP(M172,Parâmetros!$M$15:$O$17,2,TRUE),""))</f>
        <v/>
      </c>
      <c r="O172" s="18" t="str">
        <f>IF(N172="","",VLOOKUP(N172,Parâmetros!$N$15:$O$17,2,FALSE))</f>
        <v/>
      </c>
      <c r="P172" s="18" t="str">
        <f>IF(O172="","",O172*VLOOKUP(N172,Parâmetros!$N$15:$P$17,3,FALSE))</f>
        <v/>
      </c>
      <c r="Q172" s="18" t="str">
        <f>IF(O172="","",O172*VLOOKUP(N172,Parâmetros!$N$15:$Q$17,4,FALSE))</f>
        <v/>
      </c>
      <c r="R172" s="15"/>
    </row>
    <row r="173" spans="1:18">
      <c r="A173" s="15"/>
      <c r="B173" s="15"/>
      <c r="C173" s="15"/>
      <c r="D173" s="15"/>
      <c r="E173" s="15"/>
      <c r="F173" s="16" t="str">
        <f>IFERROR(VLOOKUP(E173,Parâmetros!$A$15:$B$18,2,FALSE),"")</f>
        <v/>
      </c>
      <c r="G173" s="16"/>
      <c r="H173" s="16" t="str">
        <f>IFERROR(VLOOKUP(G173,Parâmetros!$D$15:$E$18,2,FALSE),"")</f>
        <v/>
      </c>
      <c r="I173" s="16"/>
      <c r="J173" s="16" t="str">
        <f>IFERROR(VLOOKUP(I173,Parâmetros!$G$15:$H$18,2,FALSE),"")</f>
        <v/>
      </c>
      <c r="K173" s="16"/>
      <c r="L173" s="16" t="str">
        <f>IFERROR(VLOOKUP(K173,Parâmetros!$J$15:$K$18,2,FALSE),"")</f>
        <v/>
      </c>
      <c r="M173" s="17" t="str">
        <f>IF(COUNTA(E173,G173,I173,K173)&lt;4,"",F173*Parâmetros!$B$7+H173*Parâmetros!$B$8+J173*Parâmetros!$B$9+L173*Parâmetros!$B$10)</f>
        <v/>
      </c>
      <c r="N173" s="16" t="str">
        <f>IF(M173="","",IFERROR(VLOOKUP(M173,Parâmetros!$M$15:$O$17,2,TRUE),""))</f>
        <v/>
      </c>
      <c r="O173" s="18" t="str">
        <f>IF(N173="","",VLOOKUP(N173,Parâmetros!$N$15:$O$17,2,FALSE))</f>
        <v/>
      </c>
      <c r="P173" s="18" t="str">
        <f>IF(O173="","",O173*VLOOKUP(N173,Parâmetros!$N$15:$P$17,3,FALSE))</f>
        <v/>
      </c>
      <c r="Q173" s="18" t="str">
        <f>IF(O173="","",O173*VLOOKUP(N173,Parâmetros!$N$15:$Q$17,4,FALSE))</f>
        <v/>
      </c>
      <c r="R173" s="15"/>
    </row>
    <row r="174" spans="1:18">
      <c r="A174" s="15"/>
      <c r="B174" s="15"/>
      <c r="C174" s="15"/>
      <c r="D174" s="15"/>
      <c r="E174" s="15"/>
      <c r="F174" s="16" t="str">
        <f>IFERROR(VLOOKUP(E174,Parâmetros!$A$15:$B$18,2,FALSE),"")</f>
        <v/>
      </c>
      <c r="G174" s="16"/>
      <c r="H174" s="16" t="str">
        <f>IFERROR(VLOOKUP(G174,Parâmetros!$D$15:$E$18,2,FALSE),"")</f>
        <v/>
      </c>
      <c r="I174" s="16"/>
      <c r="J174" s="16" t="str">
        <f>IFERROR(VLOOKUP(I174,Parâmetros!$G$15:$H$18,2,FALSE),"")</f>
        <v/>
      </c>
      <c r="K174" s="16"/>
      <c r="L174" s="16" t="str">
        <f>IFERROR(VLOOKUP(K174,Parâmetros!$J$15:$K$18,2,FALSE),"")</f>
        <v/>
      </c>
      <c r="M174" s="17" t="str">
        <f>IF(COUNTA(E174,G174,I174,K174)&lt;4,"",F174*Parâmetros!$B$7+H174*Parâmetros!$B$8+J174*Parâmetros!$B$9+L174*Parâmetros!$B$10)</f>
        <v/>
      </c>
      <c r="N174" s="16" t="str">
        <f>IF(M174="","",IFERROR(VLOOKUP(M174,Parâmetros!$M$15:$O$17,2,TRUE),""))</f>
        <v/>
      </c>
      <c r="O174" s="18" t="str">
        <f>IF(N174="","",VLOOKUP(N174,Parâmetros!$N$15:$O$17,2,FALSE))</f>
        <v/>
      </c>
      <c r="P174" s="18" t="str">
        <f>IF(O174="","",O174*VLOOKUP(N174,Parâmetros!$N$15:$P$17,3,FALSE))</f>
        <v/>
      </c>
      <c r="Q174" s="18" t="str">
        <f>IF(O174="","",O174*VLOOKUP(N174,Parâmetros!$N$15:$Q$17,4,FALSE))</f>
        <v/>
      </c>
      <c r="R174" s="15"/>
    </row>
    <row r="175" spans="1:18">
      <c r="A175" s="15"/>
      <c r="B175" s="15"/>
      <c r="C175" s="15"/>
      <c r="D175" s="15"/>
      <c r="E175" s="15"/>
      <c r="F175" s="16" t="str">
        <f>IFERROR(VLOOKUP(E175,Parâmetros!$A$15:$B$18,2,FALSE),"")</f>
        <v/>
      </c>
      <c r="G175" s="16"/>
      <c r="H175" s="16" t="str">
        <f>IFERROR(VLOOKUP(G175,Parâmetros!$D$15:$E$18,2,FALSE),"")</f>
        <v/>
      </c>
      <c r="I175" s="16"/>
      <c r="J175" s="16" t="str">
        <f>IFERROR(VLOOKUP(I175,Parâmetros!$G$15:$H$18,2,FALSE),"")</f>
        <v/>
      </c>
      <c r="K175" s="16"/>
      <c r="L175" s="16" t="str">
        <f>IFERROR(VLOOKUP(K175,Parâmetros!$J$15:$K$18,2,FALSE),"")</f>
        <v/>
      </c>
      <c r="M175" s="17" t="str">
        <f>IF(COUNTA(E175,G175,I175,K175)&lt;4,"",F175*Parâmetros!$B$7+H175*Parâmetros!$B$8+J175*Parâmetros!$B$9+L175*Parâmetros!$B$10)</f>
        <v/>
      </c>
      <c r="N175" s="16" t="str">
        <f>IF(M175="","",IFERROR(VLOOKUP(M175,Parâmetros!$M$15:$O$17,2,TRUE),""))</f>
        <v/>
      </c>
      <c r="O175" s="18" t="str">
        <f>IF(N175="","",VLOOKUP(N175,Parâmetros!$N$15:$O$17,2,FALSE))</f>
        <v/>
      </c>
      <c r="P175" s="18" t="str">
        <f>IF(O175="","",O175*VLOOKUP(N175,Parâmetros!$N$15:$P$17,3,FALSE))</f>
        <v/>
      </c>
      <c r="Q175" s="18" t="str">
        <f>IF(O175="","",O175*VLOOKUP(N175,Parâmetros!$N$15:$Q$17,4,FALSE))</f>
        <v/>
      </c>
      <c r="R175" s="15"/>
    </row>
    <row r="176" spans="1:18">
      <c r="A176" s="15"/>
      <c r="B176" s="15"/>
      <c r="C176" s="15"/>
      <c r="D176" s="15"/>
      <c r="E176" s="15"/>
      <c r="F176" s="16" t="str">
        <f>IFERROR(VLOOKUP(E176,Parâmetros!$A$15:$B$18,2,FALSE),"")</f>
        <v/>
      </c>
      <c r="G176" s="16"/>
      <c r="H176" s="16" t="str">
        <f>IFERROR(VLOOKUP(G176,Parâmetros!$D$15:$E$18,2,FALSE),"")</f>
        <v/>
      </c>
      <c r="I176" s="16"/>
      <c r="J176" s="16" t="str">
        <f>IFERROR(VLOOKUP(I176,Parâmetros!$G$15:$H$18,2,FALSE),"")</f>
        <v/>
      </c>
      <c r="K176" s="16"/>
      <c r="L176" s="16" t="str">
        <f>IFERROR(VLOOKUP(K176,Parâmetros!$J$15:$K$18,2,FALSE),"")</f>
        <v/>
      </c>
      <c r="M176" s="17" t="str">
        <f>IF(COUNTA(E176,G176,I176,K176)&lt;4,"",F176*Parâmetros!$B$7+H176*Parâmetros!$B$8+J176*Parâmetros!$B$9+L176*Parâmetros!$B$10)</f>
        <v/>
      </c>
      <c r="N176" s="16" t="str">
        <f>IF(M176="","",IFERROR(VLOOKUP(M176,Parâmetros!$M$15:$O$17,2,TRUE),""))</f>
        <v/>
      </c>
      <c r="O176" s="18" t="str">
        <f>IF(N176="","",VLOOKUP(N176,Parâmetros!$N$15:$O$17,2,FALSE))</f>
        <v/>
      </c>
      <c r="P176" s="18" t="str">
        <f>IF(O176="","",O176*VLOOKUP(N176,Parâmetros!$N$15:$P$17,3,FALSE))</f>
        <v/>
      </c>
      <c r="Q176" s="18" t="str">
        <f>IF(O176="","",O176*VLOOKUP(N176,Parâmetros!$N$15:$Q$17,4,FALSE))</f>
        <v/>
      </c>
      <c r="R176" s="15"/>
    </row>
    <row r="177" spans="1:18">
      <c r="A177" s="15"/>
      <c r="B177" s="15"/>
      <c r="C177" s="15"/>
      <c r="D177" s="15"/>
      <c r="E177" s="15"/>
      <c r="F177" s="16" t="str">
        <f>IFERROR(VLOOKUP(E177,Parâmetros!$A$15:$B$18,2,FALSE),"")</f>
        <v/>
      </c>
      <c r="G177" s="16"/>
      <c r="H177" s="16" t="str">
        <f>IFERROR(VLOOKUP(G177,Parâmetros!$D$15:$E$18,2,FALSE),"")</f>
        <v/>
      </c>
      <c r="I177" s="16"/>
      <c r="J177" s="16" t="str">
        <f>IFERROR(VLOOKUP(I177,Parâmetros!$G$15:$H$18,2,FALSE),"")</f>
        <v/>
      </c>
      <c r="K177" s="16"/>
      <c r="L177" s="16" t="str">
        <f>IFERROR(VLOOKUP(K177,Parâmetros!$J$15:$K$18,2,FALSE),"")</f>
        <v/>
      </c>
      <c r="M177" s="17" t="str">
        <f>IF(COUNTA(E177,G177,I177,K177)&lt;4,"",F177*Parâmetros!$B$7+H177*Parâmetros!$B$8+J177*Parâmetros!$B$9+L177*Parâmetros!$B$10)</f>
        <v/>
      </c>
      <c r="N177" s="16" t="str">
        <f>IF(M177="","",IFERROR(VLOOKUP(M177,Parâmetros!$M$15:$O$17,2,TRUE),""))</f>
        <v/>
      </c>
      <c r="O177" s="18" t="str">
        <f>IF(N177="","",VLOOKUP(N177,Parâmetros!$N$15:$O$17,2,FALSE))</f>
        <v/>
      </c>
      <c r="P177" s="18" t="str">
        <f>IF(O177="","",O177*VLOOKUP(N177,Parâmetros!$N$15:$P$17,3,FALSE))</f>
        <v/>
      </c>
      <c r="Q177" s="18" t="str">
        <f>IF(O177="","",O177*VLOOKUP(N177,Parâmetros!$N$15:$Q$17,4,FALSE))</f>
        <v/>
      </c>
      <c r="R177" s="15"/>
    </row>
    <row r="178" spans="1:18">
      <c r="A178" s="15"/>
      <c r="B178" s="15"/>
      <c r="C178" s="15"/>
      <c r="D178" s="15"/>
      <c r="E178" s="15"/>
      <c r="F178" s="16" t="str">
        <f>IFERROR(VLOOKUP(E178,Parâmetros!$A$15:$B$18,2,FALSE),"")</f>
        <v/>
      </c>
      <c r="G178" s="16"/>
      <c r="H178" s="16" t="str">
        <f>IFERROR(VLOOKUP(G178,Parâmetros!$D$15:$E$18,2,FALSE),"")</f>
        <v/>
      </c>
      <c r="I178" s="16"/>
      <c r="J178" s="16" t="str">
        <f>IFERROR(VLOOKUP(I178,Parâmetros!$G$15:$H$18,2,FALSE),"")</f>
        <v/>
      </c>
      <c r="K178" s="16"/>
      <c r="L178" s="16" t="str">
        <f>IFERROR(VLOOKUP(K178,Parâmetros!$J$15:$K$18,2,FALSE),"")</f>
        <v/>
      </c>
      <c r="M178" s="17" t="str">
        <f>IF(COUNTA(E178,G178,I178,K178)&lt;4,"",F178*Parâmetros!$B$7+H178*Parâmetros!$B$8+J178*Parâmetros!$B$9+L178*Parâmetros!$B$10)</f>
        <v/>
      </c>
      <c r="N178" s="16" t="str">
        <f>IF(M178="","",IFERROR(VLOOKUP(M178,Parâmetros!$M$15:$O$17,2,TRUE),""))</f>
        <v/>
      </c>
      <c r="O178" s="18" t="str">
        <f>IF(N178="","",VLOOKUP(N178,Parâmetros!$N$15:$O$17,2,FALSE))</f>
        <v/>
      </c>
      <c r="P178" s="18" t="str">
        <f>IF(O178="","",O178*VLOOKUP(N178,Parâmetros!$N$15:$P$17,3,FALSE))</f>
        <v/>
      </c>
      <c r="Q178" s="18" t="str">
        <f>IF(O178="","",O178*VLOOKUP(N178,Parâmetros!$N$15:$Q$17,4,FALSE))</f>
        <v/>
      </c>
      <c r="R178" s="15"/>
    </row>
    <row r="179" spans="1:18">
      <c r="A179" s="15"/>
      <c r="B179" s="15"/>
      <c r="C179" s="15"/>
      <c r="D179" s="15"/>
      <c r="E179" s="15"/>
      <c r="F179" s="16" t="str">
        <f>IFERROR(VLOOKUP(E179,Parâmetros!$A$15:$B$18,2,FALSE),"")</f>
        <v/>
      </c>
      <c r="G179" s="16"/>
      <c r="H179" s="16" t="str">
        <f>IFERROR(VLOOKUP(G179,Parâmetros!$D$15:$E$18,2,FALSE),"")</f>
        <v/>
      </c>
      <c r="I179" s="16"/>
      <c r="J179" s="16" t="str">
        <f>IFERROR(VLOOKUP(I179,Parâmetros!$G$15:$H$18,2,FALSE),"")</f>
        <v/>
      </c>
      <c r="K179" s="16"/>
      <c r="L179" s="16" t="str">
        <f>IFERROR(VLOOKUP(K179,Parâmetros!$J$15:$K$18,2,FALSE),"")</f>
        <v/>
      </c>
      <c r="M179" s="17" t="str">
        <f>IF(COUNTA(E179,G179,I179,K179)&lt;4,"",F179*Parâmetros!$B$7+H179*Parâmetros!$B$8+J179*Parâmetros!$B$9+L179*Parâmetros!$B$10)</f>
        <v/>
      </c>
      <c r="N179" s="16" t="str">
        <f>IF(M179="","",IFERROR(VLOOKUP(M179,Parâmetros!$M$15:$O$17,2,TRUE),""))</f>
        <v/>
      </c>
      <c r="O179" s="18" t="str">
        <f>IF(N179="","",VLOOKUP(N179,Parâmetros!$N$15:$O$17,2,FALSE))</f>
        <v/>
      </c>
      <c r="P179" s="18" t="str">
        <f>IF(O179="","",O179*VLOOKUP(N179,Parâmetros!$N$15:$P$17,3,FALSE))</f>
        <v/>
      </c>
      <c r="Q179" s="18" t="str">
        <f>IF(O179="","",O179*VLOOKUP(N179,Parâmetros!$N$15:$Q$17,4,FALSE))</f>
        <v/>
      </c>
      <c r="R179" s="15"/>
    </row>
    <row r="180" spans="1:18">
      <c r="A180" s="15"/>
      <c r="B180" s="15"/>
      <c r="C180" s="15"/>
      <c r="D180" s="15"/>
      <c r="E180" s="15"/>
      <c r="F180" s="16" t="str">
        <f>IFERROR(VLOOKUP(E180,Parâmetros!$A$15:$B$18,2,FALSE),"")</f>
        <v/>
      </c>
      <c r="G180" s="16"/>
      <c r="H180" s="16" t="str">
        <f>IFERROR(VLOOKUP(G180,Parâmetros!$D$15:$E$18,2,FALSE),"")</f>
        <v/>
      </c>
      <c r="I180" s="16"/>
      <c r="J180" s="16" t="str">
        <f>IFERROR(VLOOKUP(I180,Parâmetros!$G$15:$H$18,2,FALSE),"")</f>
        <v/>
      </c>
      <c r="K180" s="16"/>
      <c r="L180" s="16" t="str">
        <f>IFERROR(VLOOKUP(K180,Parâmetros!$J$15:$K$18,2,FALSE),"")</f>
        <v/>
      </c>
      <c r="M180" s="17" t="str">
        <f>IF(COUNTA(E180,G180,I180,K180)&lt;4,"",F180*Parâmetros!$B$7+H180*Parâmetros!$B$8+J180*Parâmetros!$B$9+L180*Parâmetros!$B$10)</f>
        <v/>
      </c>
      <c r="N180" s="16" t="str">
        <f>IF(M180="","",IFERROR(VLOOKUP(M180,Parâmetros!$M$15:$O$17,2,TRUE),""))</f>
        <v/>
      </c>
      <c r="O180" s="18" t="str">
        <f>IF(N180="","",VLOOKUP(N180,Parâmetros!$N$15:$O$17,2,FALSE))</f>
        <v/>
      </c>
      <c r="P180" s="18" t="str">
        <f>IF(O180="","",O180*VLOOKUP(N180,Parâmetros!$N$15:$P$17,3,FALSE))</f>
        <v/>
      </c>
      <c r="Q180" s="18" t="str">
        <f>IF(O180="","",O180*VLOOKUP(N180,Parâmetros!$N$15:$Q$17,4,FALSE))</f>
        <v/>
      </c>
      <c r="R180" s="15"/>
    </row>
    <row r="181" spans="1:18">
      <c r="A181" s="15"/>
      <c r="B181" s="15"/>
      <c r="C181" s="15"/>
      <c r="D181" s="15"/>
      <c r="E181" s="15"/>
      <c r="F181" s="16" t="str">
        <f>IFERROR(VLOOKUP(E181,Parâmetros!$A$15:$B$18,2,FALSE),"")</f>
        <v/>
      </c>
      <c r="G181" s="16"/>
      <c r="H181" s="16" t="str">
        <f>IFERROR(VLOOKUP(G181,Parâmetros!$D$15:$E$18,2,FALSE),"")</f>
        <v/>
      </c>
      <c r="I181" s="16"/>
      <c r="J181" s="16" t="str">
        <f>IFERROR(VLOOKUP(I181,Parâmetros!$G$15:$H$18,2,FALSE),"")</f>
        <v/>
      </c>
      <c r="K181" s="16"/>
      <c r="L181" s="16" t="str">
        <f>IFERROR(VLOOKUP(K181,Parâmetros!$J$15:$K$18,2,FALSE),"")</f>
        <v/>
      </c>
      <c r="M181" s="17" t="str">
        <f>IF(COUNTA(E181,G181,I181,K181)&lt;4,"",F181*Parâmetros!$B$7+H181*Parâmetros!$B$8+J181*Parâmetros!$B$9+L181*Parâmetros!$B$10)</f>
        <v/>
      </c>
      <c r="N181" s="16" t="str">
        <f>IF(M181="","",IFERROR(VLOOKUP(M181,Parâmetros!$M$15:$O$17,2,TRUE),""))</f>
        <v/>
      </c>
      <c r="O181" s="18" t="str">
        <f>IF(N181="","",VLOOKUP(N181,Parâmetros!$N$15:$O$17,2,FALSE))</f>
        <v/>
      </c>
      <c r="P181" s="18" t="str">
        <f>IF(O181="","",O181*VLOOKUP(N181,Parâmetros!$N$15:$P$17,3,FALSE))</f>
        <v/>
      </c>
      <c r="Q181" s="18" t="str">
        <f>IF(O181="","",O181*VLOOKUP(N181,Parâmetros!$N$15:$Q$17,4,FALSE))</f>
        <v/>
      </c>
      <c r="R181" s="15"/>
    </row>
    <row r="182" spans="1:18">
      <c r="A182" s="15"/>
      <c r="B182" s="15"/>
      <c r="C182" s="15"/>
      <c r="D182" s="15"/>
      <c r="E182" s="15"/>
      <c r="F182" s="16" t="str">
        <f>IFERROR(VLOOKUP(E182,Parâmetros!$A$15:$B$18,2,FALSE),"")</f>
        <v/>
      </c>
      <c r="G182" s="16"/>
      <c r="H182" s="16" t="str">
        <f>IFERROR(VLOOKUP(G182,Parâmetros!$D$15:$E$18,2,FALSE),"")</f>
        <v/>
      </c>
      <c r="I182" s="16"/>
      <c r="J182" s="16" t="str">
        <f>IFERROR(VLOOKUP(I182,Parâmetros!$G$15:$H$18,2,FALSE),"")</f>
        <v/>
      </c>
      <c r="K182" s="16"/>
      <c r="L182" s="16" t="str">
        <f>IFERROR(VLOOKUP(K182,Parâmetros!$J$15:$K$18,2,FALSE),"")</f>
        <v/>
      </c>
      <c r="M182" s="17" t="str">
        <f>IF(COUNTA(E182,G182,I182,K182)&lt;4,"",F182*Parâmetros!$B$7+H182*Parâmetros!$B$8+J182*Parâmetros!$B$9+L182*Parâmetros!$B$10)</f>
        <v/>
      </c>
      <c r="N182" s="16" t="str">
        <f>IF(M182="","",IFERROR(VLOOKUP(M182,Parâmetros!$M$15:$O$17,2,TRUE),""))</f>
        <v/>
      </c>
      <c r="O182" s="18" t="str">
        <f>IF(N182="","",VLOOKUP(N182,Parâmetros!$N$15:$O$17,2,FALSE))</f>
        <v/>
      </c>
      <c r="P182" s="18" t="str">
        <f>IF(O182="","",O182*VLOOKUP(N182,Parâmetros!$N$15:$P$17,3,FALSE))</f>
        <v/>
      </c>
      <c r="Q182" s="18" t="str">
        <f>IF(O182="","",O182*VLOOKUP(N182,Parâmetros!$N$15:$Q$17,4,FALSE))</f>
        <v/>
      </c>
      <c r="R182" s="15"/>
    </row>
    <row r="183" spans="1:18">
      <c r="A183" s="15"/>
      <c r="B183" s="15"/>
      <c r="C183" s="15"/>
      <c r="D183" s="15"/>
      <c r="E183" s="15"/>
      <c r="F183" s="16" t="str">
        <f>IFERROR(VLOOKUP(E183,Parâmetros!$A$15:$B$18,2,FALSE),"")</f>
        <v/>
      </c>
      <c r="G183" s="16"/>
      <c r="H183" s="16" t="str">
        <f>IFERROR(VLOOKUP(G183,Parâmetros!$D$15:$E$18,2,FALSE),"")</f>
        <v/>
      </c>
      <c r="I183" s="16"/>
      <c r="J183" s="16" t="str">
        <f>IFERROR(VLOOKUP(I183,Parâmetros!$G$15:$H$18,2,FALSE),"")</f>
        <v/>
      </c>
      <c r="K183" s="16"/>
      <c r="L183" s="16" t="str">
        <f>IFERROR(VLOOKUP(K183,Parâmetros!$J$15:$K$18,2,FALSE),"")</f>
        <v/>
      </c>
      <c r="M183" s="17" t="str">
        <f>IF(COUNTA(E183,G183,I183,K183)&lt;4,"",F183*Parâmetros!$B$7+H183*Parâmetros!$B$8+J183*Parâmetros!$B$9+L183*Parâmetros!$B$10)</f>
        <v/>
      </c>
      <c r="N183" s="16" t="str">
        <f>IF(M183="","",IFERROR(VLOOKUP(M183,Parâmetros!$M$15:$O$17,2,TRUE),""))</f>
        <v/>
      </c>
      <c r="O183" s="18" t="str">
        <f>IF(N183="","",VLOOKUP(N183,Parâmetros!$N$15:$O$17,2,FALSE))</f>
        <v/>
      </c>
      <c r="P183" s="18" t="str">
        <f>IF(O183="","",O183*VLOOKUP(N183,Parâmetros!$N$15:$P$17,3,FALSE))</f>
        <v/>
      </c>
      <c r="Q183" s="18" t="str">
        <f>IF(O183="","",O183*VLOOKUP(N183,Parâmetros!$N$15:$Q$17,4,FALSE))</f>
        <v/>
      </c>
      <c r="R183" s="15"/>
    </row>
    <row r="184" spans="1:18">
      <c r="A184" s="15"/>
      <c r="B184" s="15"/>
      <c r="C184" s="15"/>
      <c r="D184" s="15"/>
      <c r="E184" s="15"/>
      <c r="F184" s="16" t="str">
        <f>IFERROR(VLOOKUP(E184,Parâmetros!$A$15:$B$18,2,FALSE),"")</f>
        <v/>
      </c>
      <c r="G184" s="16"/>
      <c r="H184" s="16" t="str">
        <f>IFERROR(VLOOKUP(G184,Parâmetros!$D$15:$E$18,2,FALSE),"")</f>
        <v/>
      </c>
      <c r="I184" s="16"/>
      <c r="J184" s="16" t="str">
        <f>IFERROR(VLOOKUP(I184,Parâmetros!$G$15:$H$18,2,FALSE),"")</f>
        <v/>
      </c>
      <c r="K184" s="16"/>
      <c r="L184" s="16" t="str">
        <f>IFERROR(VLOOKUP(K184,Parâmetros!$J$15:$K$18,2,FALSE),"")</f>
        <v/>
      </c>
      <c r="M184" s="17" t="str">
        <f>IF(COUNTA(E184,G184,I184,K184)&lt;4,"",F184*Parâmetros!$B$7+H184*Parâmetros!$B$8+J184*Parâmetros!$B$9+L184*Parâmetros!$B$10)</f>
        <v/>
      </c>
      <c r="N184" s="16" t="str">
        <f>IF(M184="","",IFERROR(VLOOKUP(M184,Parâmetros!$M$15:$O$17,2,TRUE),""))</f>
        <v/>
      </c>
      <c r="O184" s="18" t="str">
        <f>IF(N184="","",VLOOKUP(N184,Parâmetros!$N$15:$O$17,2,FALSE))</f>
        <v/>
      </c>
      <c r="P184" s="18" t="str">
        <f>IF(O184="","",O184*VLOOKUP(N184,Parâmetros!$N$15:$P$17,3,FALSE))</f>
        <v/>
      </c>
      <c r="Q184" s="18" t="str">
        <f>IF(O184="","",O184*VLOOKUP(N184,Parâmetros!$N$15:$Q$17,4,FALSE))</f>
        <v/>
      </c>
      <c r="R184" s="15"/>
    </row>
    <row r="185" spans="1:18">
      <c r="A185" s="15"/>
      <c r="B185" s="15"/>
      <c r="C185" s="15"/>
      <c r="D185" s="15"/>
      <c r="E185" s="15"/>
      <c r="F185" s="16" t="str">
        <f>IFERROR(VLOOKUP(E185,Parâmetros!$A$15:$B$18,2,FALSE),"")</f>
        <v/>
      </c>
      <c r="G185" s="16"/>
      <c r="H185" s="16" t="str">
        <f>IFERROR(VLOOKUP(G185,Parâmetros!$D$15:$E$18,2,FALSE),"")</f>
        <v/>
      </c>
      <c r="I185" s="16"/>
      <c r="J185" s="16" t="str">
        <f>IFERROR(VLOOKUP(I185,Parâmetros!$G$15:$H$18,2,FALSE),"")</f>
        <v/>
      </c>
      <c r="K185" s="16"/>
      <c r="L185" s="16" t="str">
        <f>IFERROR(VLOOKUP(K185,Parâmetros!$J$15:$K$18,2,FALSE),"")</f>
        <v/>
      </c>
      <c r="M185" s="17" t="str">
        <f>IF(COUNTA(E185,G185,I185,K185)&lt;4,"",F185*Parâmetros!$B$7+H185*Parâmetros!$B$8+J185*Parâmetros!$B$9+L185*Parâmetros!$B$10)</f>
        <v/>
      </c>
      <c r="N185" s="16" t="str">
        <f>IF(M185="","",IFERROR(VLOOKUP(M185,Parâmetros!$M$15:$O$17,2,TRUE),""))</f>
        <v/>
      </c>
      <c r="O185" s="18" t="str">
        <f>IF(N185="","",VLOOKUP(N185,Parâmetros!$N$15:$O$17,2,FALSE))</f>
        <v/>
      </c>
      <c r="P185" s="18" t="str">
        <f>IF(O185="","",O185*VLOOKUP(N185,Parâmetros!$N$15:$P$17,3,FALSE))</f>
        <v/>
      </c>
      <c r="Q185" s="18" t="str">
        <f>IF(O185="","",O185*VLOOKUP(N185,Parâmetros!$N$15:$Q$17,4,FALSE))</f>
        <v/>
      </c>
      <c r="R185" s="15"/>
    </row>
    <row r="186" spans="1:18">
      <c r="A186" s="15"/>
      <c r="B186" s="15"/>
      <c r="C186" s="15"/>
      <c r="D186" s="15"/>
      <c r="E186" s="15"/>
      <c r="F186" s="16" t="str">
        <f>IFERROR(VLOOKUP(E186,Parâmetros!$A$15:$B$18,2,FALSE),"")</f>
        <v/>
      </c>
      <c r="G186" s="16"/>
      <c r="H186" s="16" t="str">
        <f>IFERROR(VLOOKUP(G186,Parâmetros!$D$15:$E$18,2,FALSE),"")</f>
        <v/>
      </c>
      <c r="I186" s="16"/>
      <c r="J186" s="16" t="str">
        <f>IFERROR(VLOOKUP(I186,Parâmetros!$G$15:$H$18,2,FALSE),"")</f>
        <v/>
      </c>
      <c r="K186" s="16"/>
      <c r="L186" s="16" t="str">
        <f>IFERROR(VLOOKUP(K186,Parâmetros!$J$15:$K$18,2,FALSE),"")</f>
        <v/>
      </c>
      <c r="M186" s="17" t="str">
        <f>IF(COUNTA(E186,G186,I186,K186)&lt;4,"",F186*Parâmetros!$B$7+H186*Parâmetros!$B$8+J186*Parâmetros!$B$9+L186*Parâmetros!$B$10)</f>
        <v/>
      </c>
      <c r="N186" s="16" t="str">
        <f>IF(M186="","",IFERROR(VLOOKUP(M186,Parâmetros!$M$15:$O$17,2,TRUE),""))</f>
        <v/>
      </c>
      <c r="O186" s="18" t="str">
        <f>IF(N186="","",VLOOKUP(N186,Parâmetros!$N$15:$O$17,2,FALSE))</f>
        <v/>
      </c>
      <c r="P186" s="18" t="str">
        <f>IF(O186="","",O186*VLOOKUP(N186,Parâmetros!$N$15:$P$17,3,FALSE))</f>
        <v/>
      </c>
      <c r="Q186" s="18" t="str">
        <f>IF(O186="","",O186*VLOOKUP(N186,Parâmetros!$N$15:$Q$17,4,FALSE))</f>
        <v/>
      </c>
      <c r="R186" s="15"/>
    </row>
    <row r="187" spans="1:18">
      <c r="A187" s="15"/>
      <c r="B187" s="15"/>
      <c r="C187" s="15"/>
      <c r="D187" s="15"/>
      <c r="E187" s="15"/>
      <c r="F187" s="16" t="str">
        <f>IFERROR(VLOOKUP(E187,Parâmetros!$A$15:$B$18,2,FALSE),"")</f>
        <v/>
      </c>
      <c r="G187" s="16"/>
      <c r="H187" s="16" t="str">
        <f>IFERROR(VLOOKUP(G187,Parâmetros!$D$15:$E$18,2,FALSE),"")</f>
        <v/>
      </c>
      <c r="I187" s="16"/>
      <c r="J187" s="16" t="str">
        <f>IFERROR(VLOOKUP(I187,Parâmetros!$G$15:$H$18,2,FALSE),"")</f>
        <v/>
      </c>
      <c r="K187" s="16"/>
      <c r="L187" s="16" t="str">
        <f>IFERROR(VLOOKUP(K187,Parâmetros!$J$15:$K$18,2,FALSE),"")</f>
        <v/>
      </c>
      <c r="M187" s="17" t="str">
        <f>IF(COUNTA(E187,G187,I187,K187)&lt;4,"",F187*Parâmetros!$B$7+H187*Parâmetros!$B$8+J187*Parâmetros!$B$9+L187*Parâmetros!$B$10)</f>
        <v/>
      </c>
      <c r="N187" s="16" t="str">
        <f>IF(M187="","",IFERROR(VLOOKUP(M187,Parâmetros!$M$15:$O$17,2,TRUE),""))</f>
        <v/>
      </c>
      <c r="O187" s="18" t="str">
        <f>IF(N187="","",VLOOKUP(N187,Parâmetros!$N$15:$O$17,2,FALSE))</f>
        <v/>
      </c>
      <c r="P187" s="18" t="str">
        <f>IF(O187="","",O187*VLOOKUP(N187,Parâmetros!$N$15:$P$17,3,FALSE))</f>
        <v/>
      </c>
      <c r="Q187" s="18" t="str">
        <f>IF(O187="","",O187*VLOOKUP(N187,Parâmetros!$N$15:$Q$17,4,FALSE))</f>
        <v/>
      </c>
      <c r="R187" s="15"/>
    </row>
    <row r="188" spans="1:18">
      <c r="A188" s="15"/>
      <c r="B188" s="15"/>
      <c r="C188" s="15"/>
      <c r="D188" s="15"/>
      <c r="E188" s="15"/>
      <c r="F188" s="16" t="str">
        <f>IFERROR(VLOOKUP(E188,Parâmetros!$A$15:$B$18,2,FALSE),"")</f>
        <v/>
      </c>
      <c r="G188" s="16"/>
      <c r="H188" s="16" t="str">
        <f>IFERROR(VLOOKUP(G188,Parâmetros!$D$15:$E$18,2,FALSE),"")</f>
        <v/>
      </c>
      <c r="I188" s="16"/>
      <c r="J188" s="16" t="str">
        <f>IFERROR(VLOOKUP(I188,Parâmetros!$G$15:$H$18,2,FALSE),"")</f>
        <v/>
      </c>
      <c r="K188" s="16"/>
      <c r="L188" s="16" t="str">
        <f>IFERROR(VLOOKUP(K188,Parâmetros!$J$15:$K$18,2,FALSE),"")</f>
        <v/>
      </c>
      <c r="M188" s="17" t="str">
        <f>IF(COUNTA(E188,G188,I188,K188)&lt;4,"",F188*Parâmetros!$B$7+H188*Parâmetros!$B$8+J188*Parâmetros!$B$9+L188*Parâmetros!$B$10)</f>
        <v/>
      </c>
      <c r="N188" s="16" t="str">
        <f>IF(M188="","",IFERROR(VLOOKUP(M188,Parâmetros!$M$15:$O$17,2,TRUE),""))</f>
        <v/>
      </c>
      <c r="O188" s="18" t="str">
        <f>IF(N188="","",VLOOKUP(N188,Parâmetros!$N$15:$O$17,2,FALSE))</f>
        <v/>
      </c>
      <c r="P188" s="18" t="str">
        <f>IF(O188="","",O188*VLOOKUP(N188,Parâmetros!$N$15:$P$17,3,FALSE))</f>
        <v/>
      </c>
      <c r="Q188" s="18" t="str">
        <f>IF(O188="","",O188*VLOOKUP(N188,Parâmetros!$N$15:$Q$17,4,FALSE))</f>
        <v/>
      </c>
      <c r="R188" s="15"/>
    </row>
    <row r="189" spans="1:18">
      <c r="A189" s="15"/>
      <c r="B189" s="15"/>
      <c r="C189" s="15"/>
      <c r="D189" s="15"/>
      <c r="E189" s="15"/>
      <c r="F189" s="16" t="str">
        <f>IFERROR(VLOOKUP(E189,Parâmetros!$A$15:$B$18,2,FALSE),"")</f>
        <v/>
      </c>
      <c r="G189" s="16"/>
      <c r="H189" s="16" t="str">
        <f>IFERROR(VLOOKUP(G189,Parâmetros!$D$15:$E$18,2,FALSE),"")</f>
        <v/>
      </c>
      <c r="I189" s="16"/>
      <c r="J189" s="16" t="str">
        <f>IFERROR(VLOOKUP(I189,Parâmetros!$G$15:$H$18,2,FALSE),"")</f>
        <v/>
      </c>
      <c r="K189" s="16"/>
      <c r="L189" s="16" t="str">
        <f>IFERROR(VLOOKUP(K189,Parâmetros!$J$15:$K$18,2,FALSE),"")</f>
        <v/>
      </c>
      <c r="M189" s="17" t="str">
        <f>IF(COUNTA(E189,G189,I189,K189)&lt;4,"",F189*Parâmetros!$B$7+H189*Parâmetros!$B$8+J189*Parâmetros!$B$9+L189*Parâmetros!$B$10)</f>
        <v/>
      </c>
      <c r="N189" s="16" t="str">
        <f>IF(M189="","",IFERROR(VLOOKUP(M189,Parâmetros!$M$15:$O$17,2,TRUE),""))</f>
        <v/>
      </c>
      <c r="O189" s="18" t="str">
        <f>IF(N189="","",VLOOKUP(N189,Parâmetros!$N$15:$O$17,2,FALSE))</f>
        <v/>
      </c>
      <c r="P189" s="18" t="str">
        <f>IF(O189="","",O189*VLOOKUP(N189,Parâmetros!$N$15:$P$17,3,FALSE))</f>
        <v/>
      </c>
      <c r="Q189" s="18" t="str">
        <f>IF(O189="","",O189*VLOOKUP(N189,Parâmetros!$N$15:$Q$17,4,FALSE))</f>
        <v/>
      </c>
      <c r="R189" s="15"/>
    </row>
    <row r="190" spans="1:18">
      <c r="A190" s="15"/>
      <c r="B190" s="15"/>
      <c r="C190" s="15"/>
      <c r="D190" s="15"/>
      <c r="E190" s="15"/>
      <c r="F190" s="16" t="str">
        <f>IFERROR(VLOOKUP(E190,Parâmetros!$A$15:$B$18,2,FALSE),"")</f>
        <v/>
      </c>
      <c r="G190" s="16"/>
      <c r="H190" s="16" t="str">
        <f>IFERROR(VLOOKUP(G190,Parâmetros!$D$15:$E$18,2,FALSE),"")</f>
        <v/>
      </c>
      <c r="I190" s="16"/>
      <c r="J190" s="16" t="str">
        <f>IFERROR(VLOOKUP(I190,Parâmetros!$G$15:$H$18,2,FALSE),"")</f>
        <v/>
      </c>
      <c r="K190" s="16"/>
      <c r="L190" s="16" t="str">
        <f>IFERROR(VLOOKUP(K190,Parâmetros!$J$15:$K$18,2,FALSE),"")</f>
        <v/>
      </c>
      <c r="M190" s="17" t="str">
        <f>IF(COUNTA(E190,G190,I190,K190)&lt;4,"",F190*Parâmetros!$B$7+H190*Parâmetros!$B$8+J190*Parâmetros!$B$9+L190*Parâmetros!$B$10)</f>
        <v/>
      </c>
      <c r="N190" s="16" t="str">
        <f>IF(M190="","",IFERROR(VLOOKUP(M190,Parâmetros!$M$15:$O$17,2,TRUE),""))</f>
        <v/>
      </c>
      <c r="O190" s="18" t="str">
        <f>IF(N190="","",VLOOKUP(N190,Parâmetros!$N$15:$O$17,2,FALSE))</f>
        <v/>
      </c>
      <c r="P190" s="18" t="str">
        <f>IF(O190="","",O190*VLOOKUP(N190,Parâmetros!$N$15:$P$17,3,FALSE))</f>
        <v/>
      </c>
      <c r="Q190" s="18" t="str">
        <f>IF(O190="","",O190*VLOOKUP(N190,Parâmetros!$N$15:$Q$17,4,FALSE))</f>
        <v/>
      </c>
      <c r="R190" s="15"/>
    </row>
    <row r="191" spans="1:18">
      <c r="A191" s="15"/>
      <c r="B191" s="15"/>
      <c r="C191" s="15"/>
      <c r="D191" s="15"/>
      <c r="E191" s="15"/>
      <c r="F191" s="16" t="str">
        <f>IFERROR(VLOOKUP(E191,Parâmetros!$A$15:$B$18,2,FALSE),"")</f>
        <v/>
      </c>
      <c r="G191" s="16"/>
      <c r="H191" s="16" t="str">
        <f>IFERROR(VLOOKUP(G191,Parâmetros!$D$15:$E$18,2,FALSE),"")</f>
        <v/>
      </c>
      <c r="I191" s="16"/>
      <c r="J191" s="16" t="str">
        <f>IFERROR(VLOOKUP(I191,Parâmetros!$G$15:$H$18,2,FALSE),"")</f>
        <v/>
      </c>
      <c r="K191" s="16"/>
      <c r="L191" s="16" t="str">
        <f>IFERROR(VLOOKUP(K191,Parâmetros!$J$15:$K$18,2,FALSE),"")</f>
        <v/>
      </c>
      <c r="M191" s="17" t="str">
        <f>IF(COUNTA(E191,G191,I191,K191)&lt;4,"",F191*Parâmetros!$B$7+H191*Parâmetros!$B$8+J191*Parâmetros!$B$9+L191*Parâmetros!$B$10)</f>
        <v/>
      </c>
      <c r="N191" s="16" t="str">
        <f>IF(M191="","",IFERROR(VLOOKUP(M191,Parâmetros!$M$15:$O$17,2,TRUE),""))</f>
        <v/>
      </c>
      <c r="O191" s="18" t="str">
        <f>IF(N191="","",VLOOKUP(N191,Parâmetros!$N$15:$O$17,2,FALSE))</f>
        <v/>
      </c>
      <c r="P191" s="18" t="str">
        <f>IF(O191="","",O191*VLOOKUP(N191,Parâmetros!$N$15:$P$17,3,FALSE))</f>
        <v/>
      </c>
      <c r="Q191" s="18" t="str">
        <f>IF(O191="","",O191*VLOOKUP(N191,Parâmetros!$N$15:$Q$17,4,FALSE))</f>
        <v/>
      </c>
      <c r="R191" s="15"/>
    </row>
    <row r="192" spans="1:18">
      <c r="A192" s="15"/>
      <c r="B192" s="15"/>
      <c r="C192" s="15"/>
      <c r="D192" s="15"/>
      <c r="E192" s="15"/>
      <c r="F192" s="16" t="str">
        <f>IFERROR(VLOOKUP(E192,Parâmetros!$A$15:$B$18,2,FALSE),"")</f>
        <v/>
      </c>
      <c r="G192" s="16"/>
      <c r="H192" s="16" t="str">
        <f>IFERROR(VLOOKUP(G192,Parâmetros!$D$15:$E$18,2,FALSE),"")</f>
        <v/>
      </c>
      <c r="I192" s="16"/>
      <c r="J192" s="16" t="str">
        <f>IFERROR(VLOOKUP(I192,Parâmetros!$G$15:$H$18,2,FALSE),"")</f>
        <v/>
      </c>
      <c r="K192" s="16"/>
      <c r="L192" s="16" t="str">
        <f>IFERROR(VLOOKUP(K192,Parâmetros!$J$15:$K$18,2,FALSE),"")</f>
        <v/>
      </c>
      <c r="M192" s="17" t="str">
        <f>IF(COUNTA(E192,G192,I192,K192)&lt;4,"",F192*Parâmetros!$B$7+H192*Parâmetros!$B$8+J192*Parâmetros!$B$9+L192*Parâmetros!$B$10)</f>
        <v/>
      </c>
      <c r="N192" s="16" t="str">
        <f>IF(M192="","",IFERROR(VLOOKUP(M192,Parâmetros!$M$15:$O$17,2,TRUE),""))</f>
        <v/>
      </c>
      <c r="O192" s="18" t="str">
        <f>IF(N192="","",VLOOKUP(N192,Parâmetros!$N$15:$O$17,2,FALSE))</f>
        <v/>
      </c>
      <c r="P192" s="18" t="str">
        <f>IF(O192="","",O192*VLOOKUP(N192,Parâmetros!$N$15:$P$17,3,FALSE))</f>
        <v/>
      </c>
      <c r="Q192" s="18" t="str">
        <f>IF(O192="","",O192*VLOOKUP(N192,Parâmetros!$N$15:$Q$17,4,FALSE))</f>
        <v/>
      </c>
      <c r="R192" s="15"/>
    </row>
    <row r="193" spans="1:18">
      <c r="A193" s="15"/>
      <c r="B193" s="15"/>
      <c r="C193" s="15"/>
      <c r="D193" s="15"/>
      <c r="E193" s="15"/>
      <c r="F193" s="16" t="str">
        <f>IFERROR(VLOOKUP(E193,Parâmetros!$A$15:$B$18,2,FALSE),"")</f>
        <v/>
      </c>
      <c r="G193" s="16"/>
      <c r="H193" s="16" t="str">
        <f>IFERROR(VLOOKUP(G193,Parâmetros!$D$15:$E$18,2,FALSE),"")</f>
        <v/>
      </c>
      <c r="I193" s="16"/>
      <c r="J193" s="16" t="str">
        <f>IFERROR(VLOOKUP(I193,Parâmetros!$G$15:$H$18,2,FALSE),"")</f>
        <v/>
      </c>
      <c r="K193" s="16"/>
      <c r="L193" s="16" t="str">
        <f>IFERROR(VLOOKUP(K193,Parâmetros!$J$15:$K$18,2,FALSE),"")</f>
        <v/>
      </c>
      <c r="M193" s="17" t="str">
        <f>IF(COUNTA(E193,G193,I193,K193)&lt;4,"",F193*Parâmetros!$B$7+H193*Parâmetros!$B$8+J193*Parâmetros!$B$9+L193*Parâmetros!$B$10)</f>
        <v/>
      </c>
      <c r="N193" s="16" t="str">
        <f>IF(M193="","",IFERROR(VLOOKUP(M193,Parâmetros!$M$15:$O$17,2,TRUE),""))</f>
        <v/>
      </c>
      <c r="O193" s="18" t="str">
        <f>IF(N193="","",VLOOKUP(N193,Parâmetros!$N$15:$O$17,2,FALSE))</f>
        <v/>
      </c>
      <c r="P193" s="18" t="str">
        <f>IF(O193="","",O193*VLOOKUP(N193,Parâmetros!$N$15:$P$17,3,FALSE))</f>
        <v/>
      </c>
      <c r="Q193" s="18" t="str">
        <f>IF(O193="","",O193*VLOOKUP(N193,Parâmetros!$N$15:$Q$17,4,FALSE))</f>
        <v/>
      </c>
      <c r="R193" s="15"/>
    </row>
    <row r="194" spans="1:18">
      <c r="A194" s="15"/>
      <c r="B194" s="15"/>
      <c r="C194" s="15"/>
      <c r="D194" s="15"/>
      <c r="E194" s="15"/>
      <c r="F194" s="16" t="str">
        <f>IFERROR(VLOOKUP(E194,Parâmetros!$A$15:$B$18,2,FALSE),"")</f>
        <v/>
      </c>
      <c r="G194" s="16"/>
      <c r="H194" s="16" t="str">
        <f>IFERROR(VLOOKUP(G194,Parâmetros!$D$15:$E$18,2,FALSE),"")</f>
        <v/>
      </c>
      <c r="I194" s="16"/>
      <c r="J194" s="16" t="str">
        <f>IFERROR(VLOOKUP(I194,Parâmetros!$G$15:$H$18,2,FALSE),"")</f>
        <v/>
      </c>
      <c r="K194" s="16"/>
      <c r="L194" s="16" t="str">
        <f>IFERROR(VLOOKUP(K194,Parâmetros!$J$15:$K$18,2,FALSE),"")</f>
        <v/>
      </c>
      <c r="M194" s="17" t="str">
        <f>IF(COUNTA(E194,G194,I194,K194)&lt;4,"",F194*Parâmetros!$B$7+H194*Parâmetros!$B$8+J194*Parâmetros!$B$9+L194*Parâmetros!$B$10)</f>
        <v/>
      </c>
      <c r="N194" s="16" t="str">
        <f>IF(M194="","",IFERROR(VLOOKUP(M194,Parâmetros!$M$15:$O$17,2,TRUE),""))</f>
        <v/>
      </c>
      <c r="O194" s="18" t="str">
        <f>IF(N194="","",VLOOKUP(N194,Parâmetros!$N$15:$O$17,2,FALSE))</f>
        <v/>
      </c>
      <c r="P194" s="18" t="str">
        <f>IF(O194="","",O194*VLOOKUP(N194,Parâmetros!$N$15:$P$17,3,FALSE))</f>
        <v/>
      </c>
      <c r="Q194" s="18" t="str">
        <f>IF(O194="","",O194*VLOOKUP(N194,Parâmetros!$N$15:$Q$17,4,FALSE))</f>
        <v/>
      </c>
      <c r="R194" s="15"/>
    </row>
    <row r="195" spans="1:18">
      <c r="A195" s="15"/>
      <c r="B195" s="15"/>
      <c r="C195" s="15"/>
      <c r="D195" s="15"/>
      <c r="E195" s="15"/>
      <c r="F195" s="16" t="str">
        <f>IFERROR(VLOOKUP(E195,Parâmetros!$A$15:$B$18,2,FALSE),"")</f>
        <v/>
      </c>
      <c r="G195" s="16"/>
      <c r="H195" s="16" t="str">
        <f>IFERROR(VLOOKUP(G195,Parâmetros!$D$15:$E$18,2,FALSE),"")</f>
        <v/>
      </c>
      <c r="I195" s="16"/>
      <c r="J195" s="16" t="str">
        <f>IFERROR(VLOOKUP(I195,Parâmetros!$G$15:$H$18,2,FALSE),"")</f>
        <v/>
      </c>
      <c r="K195" s="16"/>
      <c r="L195" s="16" t="str">
        <f>IFERROR(VLOOKUP(K195,Parâmetros!$J$15:$K$18,2,FALSE),"")</f>
        <v/>
      </c>
      <c r="M195" s="17" t="str">
        <f>IF(COUNTA(E195,G195,I195,K195)&lt;4,"",F195*Parâmetros!$B$7+H195*Parâmetros!$B$8+J195*Parâmetros!$B$9+L195*Parâmetros!$B$10)</f>
        <v/>
      </c>
      <c r="N195" s="16" t="str">
        <f>IF(M195="","",IFERROR(VLOOKUP(M195,Parâmetros!$M$15:$O$17,2,TRUE),""))</f>
        <v/>
      </c>
      <c r="O195" s="18" t="str">
        <f>IF(N195="","",VLOOKUP(N195,Parâmetros!$N$15:$O$17,2,FALSE))</f>
        <v/>
      </c>
      <c r="P195" s="18" t="str">
        <f>IF(O195="","",O195*VLOOKUP(N195,Parâmetros!$N$15:$P$17,3,FALSE))</f>
        <v/>
      </c>
      <c r="Q195" s="18" t="str">
        <f>IF(O195="","",O195*VLOOKUP(N195,Parâmetros!$N$15:$Q$17,4,FALSE))</f>
        <v/>
      </c>
      <c r="R195" s="15"/>
    </row>
    <row r="196" spans="1:18">
      <c r="A196" s="15"/>
      <c r="B196" s="15"/>
      <c r="C196" s="15"/>
      <c r="D196" s="15"/>
      <c r="E196" s="15"/>
      <c r="F196" s="16" t="str">
        <f>IFERROR(VLOOKUP(E196,Parâmetros!$A$15:$B$18,2,FALSE),"")</f>
        <v/>
      </c>
      <c r="G196" s="16"/>
      <c r="H196" s="16" t="str">
        <f>IFERROR(VLOOKUP(G196,Parâmetros!$D$15:$E$18,2,FALSE),"")</f>
        <v/>
      </c>
      <c r="I196" s="16"/>
      <c r="J196" s="16" t="str">
        <f>IFERROR(VLOOKUP(I196,Parâmetros!$G$15:$H$18,2,FALSE),"")</f>
        <v/>
      </c>
      <c r="K196" s="16"/>
      <c r="L196" s="16" t="str">
        <f>IFERROR(VLOOKUP(K196,Parâmetros!$J$15:$K$18,2,FALSE),"")</f>
        <v/>
      </c>
      <c r="M196" s="17" t="str">
        <f>IF(COUNTA(E196,G196,I196,K196)&lt;4,"",F196*Parâmetros!$B$7+H196*Parâmetros!$B$8+J196*Parâmetros!$B$9+L196*Parâmetros!$B$10)</f>
        <v/>
      </c>
      <c r="N196" s="16" t="str">
        <f>IF(M196="","",IFERROR(VLOOKUP(M196,Parâmetros!$M$15:$O$17,2,TRUE),""))</f>
        <v/>
      </c>
      <c r="O196" s="18" t="str">
        <f>IF(N196="","",VLOOKUP(N196,Parâmetros!$N$15:$O$17,2,FALSE))</f>
        <v/>
      </c>
      <c r="P196" s="18" t="str">
        <f>IF(O196="","",O196*VLOOKUP(N196,Parâmetros!$N$15:$P$17,3,FALSE))</f>
        <v/>
      </c>
      <c r="Q196" s="18" t="str">
        <f>IF(O196="","",O196*VLOOKUP(N196,Parâmetros!$N$15:$Q$17,4,FALSE))</f>
        <v/>
      </c>
      <c r="R196" s="15"/>
    </row>
    <row r="197" spans="1:18">
      <c r="A197" s="15"/>
      <c r="B197" s="15"/>
      <c r="C197" s="15"/>
      <c r="D197" s="15"/>
      <c r="E197" s="15"/>
      <c r="F197" s="16" t="str">
        <f>IFERROR(VLOOKUP(E197,Parâmetros!$A$15:$B$18,2,FALSE),"")</f>
        <v/>
      </c>
      <c r="G197" s="16"/>
      <c r="H197" s="16" t="str">
        <f>IFERROR(VLOOKUP(G197,Parâmetros!$D$15:$E$18,2,FALSE),"")</f>
        <v/>
      </c>
      <c r="I197" s="16"/>
      <c r="J197" s="16" t="str">
        <f>IFERROR(VLOOKUP(I197,Parâmetros!$G$15:$H$18,2,FALSE),"")</f>
        <v/>
      </c>
      <c r="K197" s="16"/>
      <c r="L197" s="16" t="str">
        <f>IFERROR(VLOOKUP(K197,Parâmetros!$J$15:$K$18,2,FALSE),"")</f>
        <v/>
      </c>
      <c r="M197" s="17" t="str">
        <f>IF(COUNTA(E197,G197,I197,K197)&lt;4,"",F197*Parâmetros!$B$7+H197*Parâmetros!$B$8+J197*Parâmetros!$B$9+L197*Parâmetros!$B$10)</f>
        <v/>
      </c>
      <c r="N197" s="16" t="str">
        <f>IF(M197="","",IFERROR(VLOOKUP(M197,Parâmetros!$M$15:$O$17,2,TRUE),""))</f>
        <v/>
      </c>
      <c r="O197" s="18" t="str">
        <f>IF(N197="","",VLOOKUP(N197,Parâmetros!$N$15:$O$17,2,FALSE))</f>
        <v/>
      </c>
      <c r="P197" s="18" t="str">
        <f>IF(O197="","",O197*VLOOKUP(N197,Parâmetros!$N$15:$P$17,3,FALSE))</f>
        <v/>
      </c>
      <c r="Q197" s="18" t="str">
        <f>IF(O197="","",O197*VLOOKUP(N197,Parâmetros!$N$15:$Q$17,4,FALSE))</f>
        <v/>
      </c>
      <c r="R197" s="15"/>
    </row>
    <row r="198" spans="1:18">
      <c r="A198" s="15"/>
      <c r="B198" s="15"/>
      <c r="C198" s="15"/>
      <c r="D198" s="15"/>
      <c r="E198" s="15"/>
      <c r="F198" s="16" t="str">
        <f>IFERROR(VLOOKUP(E198,Parâmetros!$A$15:$B$18,2,FALSE),"")</f>
        <v/>
      </c>
      <c r="G198" s="16"/>
      <c r="H198" s="16" t="str">
        <f>IFERROR(VLOOKUP(G198,Parâmetros!$D$15:$E$18,2,FALSE),"")</f>
        <v/>
      </c>
      <c r="I198" s="16"/>
      <c r="J198" s="16" t="str">
        <f>IFERROR(VLOOKUP(I198,Parâmetros!$G$15:$H$18,2,FALSE),"")</f>
        <v/>
      </c>
      <c r="K198" s="16"/>
      <c r="L198" s="16" t="str">
        <f>IFERROR(VLOOKUP(K198,Parâmetros!$J$15:$K$18,2,FALSE),"")</f>
        <v/>
      </c>
      <c r="M198" s="17" t="str">
        <f>IF(COUNTA(E198,G198,I198,K198)&lt;4,"",F198*Parâmetros!$B$7+H198*Parâmetros!$B$8+J198*Parâmetros!$B$9+L198*Parâmetros!$B$10)</f>
        <v/>
      </c>
      <c r="N198" s="16" t="str">
        <f>IF(M198="","",IFERROR(VLOOKUP(M198,Parâmetros!$M$15:$O$17,2,TRUE),""))</f>
        <v/>
      </c>
      <c r="O198" s="18" t="str">
        <f>IF(N198="","",VLOOKUP(N198,Parâmetros!$N$15:$O$17,2,FALSE))</f>
        <v/>
      </c>
      <c r="P198" s="18" t="str">
        <f>IF(O198="","",O198*VLOOKUP(N198,Parâmetros!$N$15:$P$17,3,FALSE))</f>
        <v/>
      </c>
      <c r="Q198" s="18" t="str">
        <f>IF(O198="","",O198*VLOOKUP(N198,Parâmetros!$N$15:$Q$17,4,FALSE))</f>
        <v/>
      </c>
      <c r="R198" s="15"/>
    </row>
    <row r="199" spans="1:18">
      <c r="A199" s="15"/>
      <c r="B199" s="15"/>
      <c r="C199" s="15"/>
      <c r="D199" s="15"/>
      <c r="E199" s="15"/>
      <c r="F199" s="16" t="str">
        <f>IFERROR(VLOOKUP(E199,Parâmetros!$A$15:$B$18,2,FALSE),"")</f>
        <v/>
      </c>
      <c r="G199" s="16"/>
      <c r="H199" s="16" t="str">
        <f>IFERROR(VLOOKUP(G199,Parâmetros!$D$15:$E$18,2,FALSE),"")</f>
        <v/>
      </c>
      <c r="I199" s="16"/>
      <c r="J199" s="16" t="str">
        <f>IFERROR(VLOOKUP(I199,Parâmetros!$G$15:$H$18,2,FALSE),"")</f>
        <v/>
      </c>
      <c r="K199" s="16"/>
      <c r="L199" s="16" t="str">
        <f>IFERROR(VLOOKUP(K199,Parâmetros!$J$15:$K$18,2,FALSE),"")</f>
        <v/>
      </c>
      <c r="M199" s="17" t="str">
        <f>IF(COUNTA(E199,G199,I199,K199)&lt;4,"",F199*Parâmetros!$B$7+H199*Parâmetros!$B$8+J199*Parâmetros!$B$9+L199*Parâmetros!$B$10)</f>
        <v/>
      </c>
      <c r="N199" s="16" t="str">
        <f>IF(M199="","",IFERROR(VLOOKUP(M199,Parâmetros!$M$15:$O$17,2,TRUE),""))</f>
        <v/>
      </c>
      <c r="O199" s="18" t="str">
        <f>IF(N199="","",VLOOKUP(N199,Parâmetros!$N$15:$O$17,2,FALSE))</f>
        <v/>
      </c>
      <c r="P199" s="18" t="str">
        <f>IF(O199="","",O199*VLOOKUP(N199,Parâmetros!$N$15:$P$17,3,FALSE))</f>
        <v/>
      </c>
      <c r="Q199" s="18" t="str">
        <f>IF(O199="","",O199*VLOOKUP(N199,Parâmetros!$N$15:$Q$17,4,FALSE))</f>
        <v/>
      </c>
      <c r="R199" s="15"/>
    </row>
    <row r="200" spans="1:18">
      <c r="A200" s="15"/>
      <c r="B200" s="15"/>
      <c r="C200" s="15"/>
      <c r="D200" s="15"/>
      <c r="E200" s="15"/>
      <c r="F200" s="16" t="str">
        <f>IFERROR(VLOOKUP(E200,Parâmetros!$A$15:$B$18,2,FALSE),"")</f>
        <v/>
      </c>
      <c r="G200" s="16"/>
      <c r="H200" s="16" t="str">
        <f>IFERROR(VLOOKUP(G200,Parâmetros!$D$15:$E$18,2,FALSE),"")</f>
        <v/>
      </c>
      <c r="I200" s="16"/>
      <c r="J200" s="16" t="str">
        <f>IFERROR(VLOOKUP(I200,Parâmetros!$G$15:$H$18,2,FALSE),"")</f>
        <v/>
      </c>
      <c r="K200" s="16"/>
      <c r="L200" s="16" t="str">
        <f>IFERROR(VLOOKUP(K200,Parâmetros!$J$15:$K$18,2,FALSE),"")</f>
        <v/>
      </c>
      <c r="M200" s="17" t="str">
        <f>IF(COUNTA(E200,G200,I200,K200)&lt;4,"",F200*Parâmetros!$B$7+H200*Parâmetros!$B$8+J200*Parâmetros!$B$9+L200*Parâmetros!$B$10)</f>
        <v/>
      </c>
      <c r="N200" s="16" t="str">
        <f>IF(M200="","",IFERROR(VLOOKUP(M200,Parâmetros!$M$15:$O$17,2,TRUE),""))</f>
        <v/>
      </c>
      <c r="O200" s="18" t="str">
        <f>IF(N200="","",VLOOKUP(N200,Parâmetros!$N$15:$O$17,2,FALSE))</f>
        <v/>
      </c>
      <c r="P200" s="18" t="str">
        <f>IF(O200="","",O200*VLOOKUP(N200,Parâmetros!$N$15:$P$17,3,FALSE))</f>
        <v/>
      </c>
      <c r="Q200" s="18" t="str">
        <f>IF(O200="","",O200*VLOOKUP(N200,Parâmetros!$N$15:$Q$17,4,FALSE))</f>
        <v/>
      </c>
      <c r="R200" s="15"/>
    </row>
    <row r="201" spans="1:18">
      <c r="A201" s="15"/>
      <c r="B201" s="15"/>
      <c r="C201" s="15"/>
      <c r="D201" s="15"/>
      <c r="E201" s="15"/>
      <c r="F201" s="16" t="str">
        <f>IFERROR(VLOOKUP(E201,Parâmetros!$A$15:$B$18,2,FALSE),"")</f>
        <v/>
      </c>
      <c r="G201" s="16"/>
      <c r="H201" s="16" t="str">
        <f>IFERROR(VLOOKUP(G201,Parâmetros!$D$15:$E$18,2,FALSE),"")</f>
        <v/>
      </c>
      <c r="I201" s="16"/>
      <c r="J201" s="16" t="str">
        <f>IFERROR(VLOOKUP(I201,Parâmetros!$G$15:$H$18,2,FALSE),"")</f>
        <v/>
      </c>
      <c r="K201" s="16"/>
      <c r="L201" s="16" t="str">
        <f>IFERROR(VLOOKUP(K201,Parâmetros!$J$15:$K$18,2,FALSE),"")</f>
        <v/>
      </c>
      <c r="M201" s="17" t="str">
        <f>IF(COUNTA(E201,G201,I201,K201)&lt;4,"",F201*Parâmetros!$B$7+H201*Parâmetros!$B$8+J201*Parâmetros!$B$9+L201*Parâmetros!$B$10)</f>
        <v/>
      </c>
      <c r="N201" s="16" t="str">
        <f>IF(M201="","",IFERROR(VLOOKUP(M201,Parâmetros!$M$15:$O$17,2,TRUE),""))</f>
        <v/>
      </c>
      <c r="O201" s="18" t="str">
        <f>IF(N201="","",VLOOKUP(N201,Parâmetros!$N$15:$O$17,2,FALSE))</f>
        <v/>
      </c>
      <c r="P201" s="18" t="str">
        <f>IF(O201="","",O201*VLOOKUP(N201,Parâmetros!$N$15:$P$17,3,FALSE))</f>
        <v/>
      </c>
      <c r="Q201" s="18" t="str">
        <f>IF(O201="","",O201*VLOOKUP(N201,Parâmetros!$N$15:$Q$17,4,FALSE))</f>
        <v/>
      </c>
      <c r="R201" s="15"/>
    </row>
    <row r="202" spans="1:18">
      <c r="A202" s="15"/>
      <c r="B202" s="15"/>
      <c r="C202" s="15"/>
      <c r="D202" s="15"/>
      <c r="E202" s="15"/>
      <c r="F202" s="16" t="str">
        <f>IFERROR(VLOOKUP(E202,Parâmetros!$A$15:$B$18,2,FALSE),"")</f>
        <v/>
      </c>
      <c r="G202" s="16"/>
      <c r="H202" s="16" t="str">
        <f>IFERROR(VLOOKUP(G202,Parâmetros!$D$15:$E$18,2,FALSE),"")</f>
        <v/>
      </c>
      <c r="I202" s="16"/>
      <c r="J202" s="16" t="str">
        <f>IFERROR(VLOOKUP(I202,Parâmetros!$G$15:$H$18,2,FALSE),"")</f>
        <v/>
      </c>
      <c r="K202" s="16"/>
      <c r="L202" s="16" t="str">
        <f>IFERROR(VLOOKUP(K202,Parâmetros!$J$15:$K$18,2,FALSE),"")</f>
        <v/>
      </c>
      <c r="M202" s="17" t="str">
        <f>IF(COUNTA(E202,G202,I202,K202)&lt;4,"",F202*Parâmetros!$B$7+H202*Parâmetros!$B$8+J202*Parâmetros!$B$9+L202*Parâmetros!$B$10)</f>
        <v/>
      </c>
      <c r="N202" s="16" t="str">
        <f>IF(M202="","",IFERROR(VLOOKUP(M202,Parâmetros!$M$15:$O$17,2,TRUE),""))</f>
        <v/>
      </c>
      <c r="O202" s="18" t="str">
        <f>IF(N202="","",VLOOKUP(N202,Parâmetros!$N$15:$O$17,2,FALSE))</f>
        <v/>
      </c>
      <c r="P202" s="18" t="str">
        <f>IF(O202="","",O202*VLOOKUP(N202,Parâmetros!$N$15:$P$17,3,FALSE))</f>
        <v/>
      </c>
      <c r="Q202" s="18" t="str">
        <f>IF(O202="","",O202*VLOOKUP(N202,Parâmetros!$N$15:$Q$17,4,FALSE))</f>
        <v/>
      </c>
      <c r="R202" s="15"/>
    </row>
    <row r="203" spans="1:18">
      <c r="A203" s="15"/>
      <c r="B203" s="15"/>
      <c r="C203" s="15"/>
      <c r="D203" s="15"/>
      <c r="E203" s="15"/>
      <c r="F203" s="16" t="str">
        <f>IFERROR(VLOOKUP(E203,Parâmetros!$A$15:$B$18,2,FALSE),"")</f>
        <v/>
      </c>
      <c r="G203" s="16"/>
      <c r="H203" s="16" t="str">
        <f>IFERROR(VLOOKUP(G203,Parâmetros!$D$15:$E$18,2,FALSE),"")</f>
        <v/>
      </c>
      <c r="I203" s="16"/>
      <c r="J203" s="16" t="str">
        <f>IFERROR(VLOOKUP(I203,Parâmetros!$G$15:$H$18,2,FALSE),"")</f>
        <v/>
      </c>
      <c r="K203" s="16"/>
      <c r="L203" s="16" t="str">
        <f>IFERROR(VLOOKUP(K203,Parâmetros!$J$15:$K$18,2,FALSE),"")</f>
        <v/>
      </c>
      <c r="M203" s="17" t="str">
        <f>IF(COUNTA(E203,G203,I203,K203)&lt;4,"",F203*Parâmetros!$B$7+H203*Parâmetros!$B$8+J203*Parâmetros!$B$9+L203*Parâmetros!$B$10)</f>
        <v/>
      </c>
      <c r="N203" s="16" t="str">
        <f>IF(M203="","",IFERROR(VLOOKUP(M203,Parâmetros!$M$15:$O$17,2,TRUE),""))</f>
        <v/>
      </c>
      <c r="O203" s="18" t="str">
        <f>IF(N203="","",VLOOKUP(N203,Parâmetros!$N$15:$O$17,2,FALSE))</f>
        <v/>
      </c>
      <c r="P203" s="18" t="str">
        <f>IF(O203="","",O203*VLOOKUP(N203,Parâmetros!$N$15:$P$17,3,FALSE))</f>
        <v/>
      </c>
      <c r="Q203" s="18" t="str">
        <f>IF(O203="","",O203*VLOOKUP(N203,Parâmetros!$N$15:$Q$17,4,FALSE))</f>
        <v/>
      </c>
      <c r="R203" s="15"/>
    </row>
    <row r="204" spans="1:18">
      <c r="A204" s="15"/>
      <c r="B204" s="15"/>
      <c r="C204" s="15"/>
      <c r="D204" s="15"/>
      <c r="E204" s="15"/>
      <c r="F204" s="16" t="str">
        <f>IFERROR(VLOOKUP(E204,Parâmetros!$A$15:$B$18,2,FALSE),"")</f>
        <v/>
      </c>
      <c r="G204" s="16"/>
      <c r="H204" s="16" t="str">
        <f>IFERROR(VLOOKUP(G204,Parâmetros!$D$15:$E$18,2,FALSE),"")</f>
        <v/>
      </c>
      <c r="I204" s="16"/>
      <c r="J204" s="16" t="str">
        <f>IFERROR(VLOOKUP(I204,Parâmetros!$G$15:$H$18,2,FALSE),"")</f>
        <v/>
      </c>
      <c r="K204" s="16"/>
      <c r="L204" s="16" t="str">
        <f>IFERROR(VLOOKUP(K204,Parâmetros!$J$15:$K$18,2,FALSE),"")</f>
        <v/>
      </c>
      <c r="M204" s="17" t="str">
        <f>IF(COUNTA(E204,G204,I204,K204)&lt;4,"",F204*Parâmetros!$B$7+H204*Parâmetros!$B$8+J204*Parâmetros!$B$9+L204*Parâmetros!$B$10)</f>
        <v/>
      </c>
      <c r="N204" s="16" t="str">
        <f>IF(M204="","",IFERROR(VLOOKUP(M204,Parâmetros!$M$15:$O$17,2,TRUE),""))</f>
        <v/>
      </c>
      <c r="O204" s="18" t="str">
        <f>IF(N204="","",VLOOKUP(N204,Parâmetros!$N$15:$O$17,2,FALSE))</f>
        <v/>
      </c>
      <c r="P204" s="18" t="str">
        <f>IF(O204="","",O204*VLOOKUP(N204,Parâmetros!$N$15:$P$17,3,FALSE))</f>
        <v/>
      </c>
      <c r="Q204" s="18" t="str">
        <f>IF(O204="","",O204*VLOOKUP(N204,Parâmetros!$N$15:$Q$17,4,FALSE))</f>
        <v/>
      </c>
      <c r="R204" s="15"/>
    </row>
    <row r="205" spans="1:18">
      <c r="A205" s="15"/>
      <c r="B205" s="15"/>
      <c r="C205" s="15"/>
      <c r="D205" s="15"/>
      <c r="E205" s="15"/>
      <c r="F205" s="16" t="str">
        <f>IFERROR(VLOOKUP(E205,Parâmetros!$A$15:$B$18,2,FALSE),"")</f>
        <v/>
      </c>
      <c r="G205" s="16"/>
      <c r="H205" s="16" t="str">
        <f>IFERROR(VLOOKUP(G205,Parâmetros!$D$15:$E$18,2,FALSE),"")</f>
        <v/>
      </c>
      <c r="I205" s="16"/>
      <c r="J205" s="16" t="str">
        <f>IFERROR(VLOOKUP(I205,Parâmetros!$G$15:$H$18,2,FALSE),"")</f>
        <v/>
      </c>
      <c r="K205" s="16"/>
      <c r="L205" s="16" t="str">
        <f>IFERROR(VLOOKUP(K205,Parâmetros!$J$15:$K$18,2,FALSE),"")</f>
        <v/>
      </c>
      <c r="M205" s="17" t="str">
        <f>IF(COUNTA(E205,G205,I205,K205)&lt;4,"",F205*Parâmetros!$B$7+H205*Parâmetros!$B$8+J205*Parâmetros!$B$9+L205*Parâmetros!$B$10)</f>
        <v/>
      </c>
      <c r="N205" s="16" t="str">
        <f>IF(M205="","",IFERROR(VLOOKUP(M205,Parâmetros!$M$15:$O$17,2,TRUE),""))</f>
        <v/>
      </c>
      <c r="O205" s="18" t="str">
        <f>IF(N205="","",VLOOKUP(N205,Parâmetros!$N$15:$O$17,2,FALSE))</f>
        <v/>
      </c>
      <c r="P205" s="18" t="str">
        <f>IF(O205="","",O205*VLOOKUP(N205,Parâmetros!$N$15:$P$17,3,FALSE))</f>
        <v/>
      </c>
      <c r="Q205" s="18" t="str">
        <f>IF(O205="","",O205*VLOOKUP(N205,Parâmetros!$N$15:$Q$17,4,FALSE))</f>
        <v/>
      </c>
      <c r="R205" s="15"/>
    </row>
    <row r="206" spans="1:18">
      <c r="A206" s="15"/>
      <c r="B206" s="15"/>
      <c r="C206" s="15"/>
      <c r="D206" s="15"/>
      <c r="E206" s="15"/>
      <c r="F206" s="16" t="str">
        <f>IFERROR(VLOOKUP(E206,Parâmetros!$A$15:$B$18,2,FALSE),"")</f>
        <v/>
      </c>
      <c r="G206" s="16"/>
      <c r="H206" s="16" t="str">
        <f>IFERROR(VLOOKUP(G206,Parâmetros!$D$15:$E$18,2,FALSE),"")</f>
        <v/>
      </c>
      <c r="I206" s="16"/>
      <c r="J206" s="16" t="str">
        <f>IFERROR(VLOOKUP(I206,Parâmetros!$G$15:$H$18,2,FALSE),"")</f>
        <v/>
      </c>
      <c r="K206" s="16"/>
      <c r="L206" s="16" t="str">
        <f>IFERROR(VLOOKUP(K206,Parâmetros!$J$15:$K$18,2,FALSE),"")</f>
        <v/>
      </c>
      <c r="M206" s="17" t="str">
        <f>IF(COUNTA(E206,G206,I206,K206)&lt;4,"",F206*Parâmetros!$B$7+H206*Parâmetros!$B$8+J206*Parâmetros!$B$9+L206*Parâmetros!$B$10)</f>
        <v/>
      </c>
      <c r="N206" s="16" t="str">
        <f>IF(M206="","",IFERROR(VLOOKUP(M206,Parâmetros!$M$15:$O$17,2,TRUE),""))</f>
        <v/>
      </c>
      <c r="O206" s="18" t="str">
        <f>IF(N206="","",VLOOKUP(N206,Parâmetros!$N$15:$O$17,2,FALSE))</f>
        <v/>
      </c>
      <c r="P206" s="18" t="str">
        <f>IF(O206="","",O206*VLOOKUP(N206,Parâmetros!$N$15:$P$17,3,FALSE))</f>
        <v/>
      </c>
      <c r="Q206" s="18" t="str">
        <f>IF(O206="","",O206*VLOOKUP(N206,Parâmetros!$N$15:$Q$17,4,FALSE))</f>
        <v/>
      </c>
      <c r="R206" s="15"/>
    </row>
    <row r="207" spans="1:18">
      <c r="A207" s="15"/>
      <c r="B207" s="15"/>
      <c r="C207" s="15"/>
      <c r="D207" s="15"/>
      <c r="E207" s="15"/>
      <c r="F207" s="16" t="str">
        <f>IFERROR(VLOOKUP(E207,Parâmetros!$A$15:$B$18,2,FALSE),"")</f>
        <v/>
      </c>
      <c r="G207" s="16"/>
      <c r="H207" s="16" t="str">
        <f>IFERROR(VLOOKUP(G207,Parâmetros!$D$15:$E$18,2,FALSE),"")</f>
        <v/>
      </c>
      <c r="I207" s="16"/>
      <c r="J207" s="16" t="str">
        <f>IFERROR(VLOOKUP(I207,Parâmetros!$G$15:$H$18,2,FALSE),"")</f>
        <v/>
      </c>
      <c r="K207" s="16"/>
      <c r="L207" s="16" t="str">
        <f>IFERROR(VLOOKUP(K207,Parâmetros!$J$15:$K$18,2,FALSE),"")</f>
        <v/>
      </c>
      <c r="M207" s="17" t="str">
        <f>IF(COUNTA(E207,G207,I207,K207)&lt;4,"",F207*Parâmetros!$B$7+H207*Parâmetros!$B$8+J207*Parâmetros!$B$9+L207*Parâmetros!$B$10)</f>
        <v/>
      </c>
      <c r="N207" s="16" t="str">
        <f>IF(M207="","",IFERROR(VLOOKUP(M207,Parâmetros!$M$15:$O$17,2,TRUE),""))</f>
        <v/>
      </c>
      <c r="O207" s="18" t="str">
        <f>IF(N207="","",VLOOKUP(N207,Parâmetros!$N$15:$O$17,2,FALSE))</f>
        <v/>
      </c>
      <c r="P207" s="18" t="str">
        <f>IF(O207="","",O207*VLOOKUP(N207,Parâmetros!$N$15:$P$17,3,FALSE))</f>
        <v/>
      </c>
      <c r="Q207" s="18" t="str">
        <f>IF(O207="","",O207*VLOOKUP(N207,Parâmetros!$N$15:$Q$17,4,FALSE))</f>
        <v/>
      </c>
      <c r="R207" s="15"/>
    </row>
    <row r="208" spans="1:18">
      <c r="A208" s="15"/>
      <c r="B208" s="15"/>
      <c r="C208" s="15"/>
      <c r="D208" s="15"/>
      <c r="E208" s="15"/>
      <c r="F208" s="16" t="str">
        <f>IFERROR(VLOOKUP(E208,Parâmetros!$A$15:$B$18,2,FALSE),"")</f>
        <v/>
      </c>
      <c r="G208" s="16"/>
      <c r="H208" s="16" t="str">
        <f>IFERROR(VLOOKUP(G208,Parâmetros!$D$15:$E$18,2,FALSE),"")</f>
        <v/>
      </c>
      <c r="I208" s="16"/>
      <c r="J208" s="16" t="str">
        <f>IFERROR(VLOOKUP(I208,Parâmetros!$G$15:$H$18,2,FALSE),"")</f>
        <v/>
      </c>
      <c r="K208" s="16"/>
      <c r="L208" s="16" t="str">
        <f>IFERROR(VLOOKUP(K208,Parâmetros!$J$15:$K$18,2,FALSE),"")</f>
        <v/>
      </c>
      <c r="M208" s="17" t="str">
        <f>IF(COUNTA(E208,G208,I208,K208)&lt;4,"",F208*Parâmetros!$B$7+H208*Parâmetros!$B$8+J208*Parâmetros!$B$9+L208*Parâmetros!$B$10)</f>
        <v/>
      </c>
      <c r="N208" s="16" t="str">
        <f>IF(M208="","",IFERROR(VLOOKUP(M208,Parâmetros!$M$15:$O$17,2,TRUE),""))</f>
        <v/>
      </c>
      <c r="O208" s="18" t="str">
        <f>IF(N208="","",VLOOKUP(N208,Parâmetros!$N$15:$O$17,2,FALSE))</f>
        <v/>
      </c>
      <c r="P208" s="18" t="str">
        <f>IF(O208="","",O208*VLOOKUP(N208,Parâmetros!$N$15:$P$17,3,FALSE))</f>
        <v/>
      </c>
      <c r="Q208" s="18" t="str">
        <f>IF(O208="","",O208*VLOOKUP(N208,Parâmetros!$N$15:$Q$17,4,FALSE))</f>
        <v/>
      </c>
      <c r="R208" s="15"/>
    </row>
    <row r="209" spans="1:18">
      <c r="A209" s="15"/>
      <c r="B209" s="15"/>
      <c r="C209" s="15"/>
      <c r="D209" s="15"/>
      <c r="E209" s="15"/>
      <c r="F209" s="16" t="str">
        <f>IFERROR(VLOOKUP(E209,Parâmetros!$A$15:$B$18,2,FALSE),"")</f>
        <v/>
      </c>
      <c r="G209" s="16"/>
      <c r="H209" s="16" t="str">
        <f>IFERROR(VLOOKUP(G209,Parâmetros!$D$15:$E$18,2,FALSE),"")</f>
        <v/>
      </c>
      <c r="I209" s="16"/>
      <c r="J209" s="16" t="str">
        <f>IFERROR(VLOOKUP(I209,Parâmetros!$G$15:$H$18,2,FALSE),"")</f>
        <v/>
      </c>
      <c r="K209" s="16"/>
      <c r="L209" s="16" t="str">
        <f>IFERROR(VLOOKUP(K209,Parâmetros!$J$15:$K$18,2,FALSE),"")</f>
        <v/>
      </c>
      <c r="M209" s="17" t="str">
        <f>IF(COUNTA(E209,G209,I209,K209)&lt;4,"",F209*Parâmetros!$B$7+H209*Parâmetros!$B$8+J209*Parâmetros!$B$9+L209*Parâmetros!$B$10)</f>
        <v/>
      </c>
      <c r="N209" s="16" t="str">
        <f>IF(M209="","",IFERROR(VLOOKUP(M209,Parâmetros!$M$15:$O$17,2,TRUE),""))</f>
        <v/>
      </c>
      <c r="O209" s="18" t="str">
        <f>IF(N209="","",VLOOKUP(N209,Parâmetros!$N$15:$O$17,2,FALSE))</f>
        <v/>
      </c>
      <c r="P209" s="18" t="str">
        <f>IF(O209="","",O209*VLOOKUP(N209,Parâmetros!$N$15:$P$17,3,FALSE))</f>
        <v/>
      </c>
      <c r="Q209" s="18" t="str">
        <f>IF(O209="","",O209*VLOOKUP(N209,Parâmetros!$N$15:$Q$17,4,FALSE))</f>
        <v/>
      </c>
      <c r="R209" s="15"/>
    </row>
    <row r="210" spans="1:18">
      <c r="A210" s="15"/>
      <c r="B210" s="15"/>
      <c r="C210" s="15"/>
      <c r="D210" s="15"/>
      <c r="E210" s="15"/>
      <c r="F210" s="16" t="str">
        <f>IFERROR(VLOOKUP(E210,Parâmetros!$A$15:$B$18,2,FALSE),"")</f>
        <v/>
      </c>
      <c r="G210" s="16"/>
      <c r="H210" s="16" t="str">
        <f>IFERROR(VLOOKUP(G210,Parâmetros!$D$15:$E$18,2,FALSE),"")</f>
        <v/>
      </c>
      <c r="I210" s="16"/>
      <c r="J210" s="16" t="str">
        <f>IFERROR(VLOOKUP(I210,Parâmetros!$G$15:$H$18,2,FALSE),"")</f>
        <v/>
      </c>
      <c r="K210" s="16"/>
      <c r="L210" s="16" t="str">
        <f>IFERROR(VLOOKUP(K210,Parâmetros!$J$15:$K$18,2,FALSE),"")</f>
        <v/>
      </c>
      <c r="M210" s="17" t="str">
        <f>IF(COUNTA(E210,G210,I210,K210)&lt;4,"",F210*Parâmetros!$B$7+H210*Parâmetros!$B$8+J210*Parâmetros!$B$9+L210*Parâmetros!$B$10)</f>
        <v/>
      </c>
      <c r="N210" s="16" t="str">
        <f>IF(M210="","",IFERROR(VLOOKUP(M210,Parâmetros!$M$15:$O$17,2,TRUE),""))</f>
        <v/>
      </c>
      <c r="O210" s="18" t="str">
        <f>IF(N210="","",VLOOKUP(N210,Parâmetros!$N$15:$O$17,2,FALSE))</f>
        <v/>
      </c>
      <c r="P210" s="18" t="str">
        <f>IF(O210="","",O210*VLOOKUP(N210,Parâmetros!$N$15:$P$17,3,FALSE))</f>
        <v/>
      </c>
      <c r="Q210" s="18" t="str">
        <f>IF(O210="","",O210*VLOOKUP(N210,Parâmetros!$N$15:$Q$17,4,FALSE))</f>
        <v/>
      </c>
      <c r="R210" s="15"/>
    </row>
    <row r="211" spans="1:18">
      <c r="A211" s="15"/>
      <c r="B211" s="15"/>
      <c r="C211" s="15"/>
      <c r="D211" s="15"/>
      <c r="E211" s="15"/>
      <c r="F211" s="16" t="str">
        <f>IFERROR(VLOOKUP(E211,Parâmetros!$A$15:$B$18,2,FALSE),"")</f>
        <v/>
      </c>
      <c r="G211" s="16"/>
      <c r="H211" s="16" t="str">
        <f>IFERROR(VLOOKUP(G211,Parâmetros!$D$15:$E$18,2,FALSE),"")</f>
        <v/>
      </c>
      <c r="I211" s="16"/>
      <c r="J211" s="16" t="str">
        <f>IFERROR(VLOOKUP(I211,Parâmetros!$G$15:$H$18,2,FALSE),"")</f>
        <v/>
      </c>
      <c r="K211" s="16"/>
      <c r="L211" s="16" t="str">
        <f>IFERROR(VLOOKUP(K211,Parâmetros!$J$15:$K$18,2,FALSE),"")</f>
        <v/>
      </c>
      <c r="M211" s="17" t="str">
        <f>IF(COUNTA(E211,G211,I211,K211)&lt;4,"",F211*Parâmetros!$B$7+H211*Parâmetros!$B$8+J211*Parâmetros!$B$9+L211*Parâmetros!$B$10)</f>
        <v/>
      </c>
      <c r="N211" s="16" t="str">
        <f>IF(M211="","",IFERROR(VLOOKUP(M211,Parâmetros!$M$15:$O$17,2,TRUE),""))</f>
        <v/>
      </c>
      <c r="O211" s="18" t="str">
        <f>IF(N211="","",VLOOKUP(N211,Parâmetros!$N$15:$O$17,2,FALSE))</f>
        <v/>
      </c>
      <c r="P211" s="18" t="str">
        <f>IF(O211="","",O211*VLOOKUP(N211,Parâmetros!$N$15:$P$17,3,FALSE))</f>
        <v/>
      </c>
      <c r="Q211" s="18" t="str">
        <f>IF(O211="","",O211*VLOOKUP(N211,Parâmetros!$N$15:$Q$17,4,FALSE))</f>
        <v/>
      </c>
      <c r="R211" s="15"/>
    </row>
    <row r="212" spans="1:18">
      <c r="A212" s="15"/>
      <c r="B212" s="15"/>
      <c r="C212" s="15"/>
      <c r="D212" s="15"/>
      <c r="E212" s="15"/>
      <c r="F212" s="16" t="str">
        <f>IFERROR(VLOOKUP(E212,Parâmetros!$A$15:$B$18,2,FALSE),"")</f>
        <v/>
      </c>
      <c r="G212" s="16"/>
      <c r="H212" s="16" t="str">
        <f>IFERROR(VLOOKUP(G212,Parâmetros!$D$15:$E$18,2,FALSE),"")</f>
        <v/>
      </c>
      <c r="I212" s="16"/>
      <c r="J212" s="16" t="str">
        <f>IFERROR(VLOOKUP(I212,Parâmetros!$G$15:$H$18,2,FALSE),"")</f>
        <v/>
      </c>
      <c r="K212" s="16"/>
      <c r="L212" s="16" t="str">
        <f>IFERROR(VLOOKUP(K212,Parâmetros!$J$15:$K$18,2,FALSE),"")</f>
        <v/>
      </c>
      <c r="M212" s="17" t="str">
        <f>IF(COUNTA(E212,G212,I212,K212)&lt;4,"",F212*Parâmetros!$B$7+H212*Parâmetros!$B$8+J212*Parâmetros!$B$9+L212*Parâmetros!$B$10)</f>
        <v/>
      </c>
      <c r="N212" s="16" t="str">
        <f>IF(M212="","",IFERROR(VLOOKUP(M212,Parâmetros!$M$15:$O$17,2,TRUE),""))</f>
        <v/>
      </c>
      <c r="O212" s="18" t="str">
        <f>IF(N212="","",VLOOKUP(N212,Parâmetros!$N$15:$O$17,2,FALSE))</f>
        <v/>
      </c>
      <c r="P212" s="18" t="str">
        <f>IF(O212="","",O212*VLOOKUP(N212,Parâmetros!$N$15:$P$17,3,FALSE))</f>
        <v/>
      </c>
      <c r="Q212" s="18" t="str">
        <f>IF(O212="","",O212*VLOOKUP(N212,Parâmetros!$N$15:$Q$17,4,FALSE))</f>
        <v/>
      </c>
      <c r="R212" s="15"/>
    </row>
    <row r="213" spans="1:18">
      <c r="A213" s="15"/>
      <c r="B213" s="15"/>
      <c r="C213" s="15"/>
      <c r="D213" s="15"/>
      <c r="E213" s="15"/>
      <c r="F213" s="16" t="str">
        <f>IFERROR(VLOOKUP(E213,Parâmetros!$A$15:$B$18,2,FALSE),"")</f>
        <v/>
      </c>
      <c r="G213" s="16"/>
      <c r="H213" s="16" t="str">
        <f>IFERROR(VLOOKUP(G213,Parâmetros!$D$15:$E$18,2,FALSE),"")</f>
        <v/>
      </c>
      <c r="I213" s="16"/>
      <c r="J213" s="16" t="str">
        <f>IFERROR(VLOOKUP(I213,Parâmetros!$G$15:$H$18,2,FALSE),"")</f>
        <v/>
      </c>
      <c r="K213" s="16"/>
      <c r="L213" s="16" t="str">
        <f>IFERROR(VLOOKUP(K213,Parâmetros!$J$15:$K$18,2,FALSE),"")</f>
        <v/>
      </c>
      <c r="M213" s="17" t="str">
        <f>IF(COUNTA(E213,G213,I213,K213)&lt;4,"",F213*Parâmetros!$B$7+H213*Parâmetros!$B$8+J213*Parâmetros!$B$9+L213*Parâmetros!$B$10)</f>
        <v/>
      </c>
      <c r="N213" s="16" t="str">
        <f>IF(M213="","",IFERROR(VLOOKUP(M213,Parâmetros!$M$15:$O$17,2,TRUE),""))</f>
        <v/>
      </c>
      <c r="O213" s="18" t="str">
        <f>IF(N213="","",VLOOKUP(N213,Parâmetros!$N$15:$O$17,2,FALSE))</f>
        <v/>
      </c>
      <c r="P213" s="18" t="str">
        <f>IF(O213="","",O213*VLOOKUP(N213,Parâmetros!$N$15:$P$17,3,FALSE))</f>
        <v/>
      </c>
      <c r="Q213" s="18" t="str">
        <f>IF(O213="","",O213*VLOOKUP(N213,Parâmetros!$N$15:$Q$17,4,FALSE))</f>
        <v/>
      </c>
      <c r="R213" s="15"/>
    </row>
    <row r="214" spans="1:18">
      <c r="A214" s="15"/>
      <c r="B214" s="15"/>
      <c r="C214" s="15"/>
      <c r="D214" s="15"/>
      <c r="E214" s="15"/>
      <c r="F214" s="16" t="str">
        <f>IFERROR(VLOOKUP(E214,Parâmetros!$A$15:$B$18,2,FALSE),"")</f>
        <v/>
      </c>
      <c r="G214" s="16"/>
      <c r="H214" s="16" t="str">
        <f>IFERROR(VLOOKUP(G214,Parâmetros!$D$15:$E$18,2,FALSE),"")</f>
        <v/>
      </c>
      <c r="I214" s="16"/>
      <c r="J214" s="16" t="str">
        <f>IFERROR(VLOOKUP(I214,Parâmetros!$G$15:$H$18,2,FALSE),"")</f>
        <v/>
      </c>
      <c r="K214" s="16"/>
      <c r="L214" s="16" t="str">
        <f>IFERROR(VLOOKUP(K214,Parâmetros!$J$15:$K$18,2,FALSE),"")</f>
        <v/>
      </c>
      <c r="M214" s="17" t="str">
        <f>IF(COUNTA(E214,G214,I214,K214)&lt;4,"",F214*Parâmetros!$B$7+H214*Parâmetros!$B$8+J214*Parâmetros!$B$9+L214*Parâmetros!$B$10)</f>
        <v/>
      </c>
      <c r="N214" s="16" t="str">
        <f>IF(M214="","",IFERROR(VLOOKUP(M214,Parâmetros!$M$15:$O$17,2,TRUE),""))</f>
        <v/>
      </c>
      <c r="O214" s="18" t="str">
        <f>IF(N214="","",VLOOKUP(N214,Parâmetros!$N$15:$O$17,2,FALSE))</f>
        <v/>
      </c>
      <c r="P214" s="18" t="str">
        <f>IF(O214="","",O214*VLOOKUP(N214,Parâmetros!$N$15:$P$17,3,FALSE))</f>
        <v/>
      </c>
      <c r="Q214" s="18" t="str">
        <f>IF(O214="","",O214*VLOOKUP(N214,Parâmetros!$N$15:$Q$17,4,FALSE))</f>
        <v/>
      </c>
      <c r="R214" s="15"/>
    </row>
    <row r="215" spans="1:18">
      <c r="A215" s="15"/>
      <c r="B215" s="15"/>
      <c r="C215" s="15"/>
      <c r="D215" s="15"/>
      <c r="E215" s="15"/>
      <c r="F215" s="16" t="str">
        <f>IFERROR(VLOOKUP(E215,Parâmetros!$A$15:$B$18,2,FALSE),"")</f>
        <v/>
      </c>
      <c r="G215" s="16"/>
      <c r="H215" s="16" t="str">
        <f>IFERROR(VLOOKUP(G215,Parâmetros!$D$15:$E$18,2,FALSE),"")</f>
        <v/>
      </c>
      <c r="I215" s="16"/>
      <c r="J215" s="16" t="str">
        <f>IFERROR(VLOOKUP(I215,Parâmetros!$G$15:$H$18,2,FALSE),"")</f>
        <v/>
      </c>
      <c r="K215" s="16"/>
      <c r="L215" s="16" t="str">
        <f>IFERROR(VLOOKUP(K215,Parâmetros!$J$15:$K$18,2,FALSE),"")</f>
        <v/>
      </c>
      <c r="M215" s="17" t="str">
        <f>IF(COUNTA(E215,G215,I215,K215)&lt;4,"",F215*Parâmetros!$B$7+H215*Parâmetros!$B$8+J215*Parâmetros!$B$9+L215*Parâmetros!$B$10)</f>
        <v/>
      </c>
      <c r="N215" s="16" t="str">
        <f>IF(M215="","",IFERROR(VLOOKUP(M215,Parâmetros!$M$15:$O$17,2,TRUE),""))</f>
        <v/>
      </c>
      <c r="O215" s="18" t="str">
        <f>IF(N215="","",VLOOKUP(N215,Parâmetros!$N$15:$O$17,2,FALSE))</f>
        <v/>
      </c>
      <c r="P215" s="18" t="str">
        <f>IF(O215="","",O215*VLOOKUP(N215,Parâmetros!$N$15:$P$17,3,FALSE))</f>
        <v/>
      </c>
      <c r="Q215" s="18" t="str">
        <f>IF(O215="","",O215*VLOOKUP(N215,Parâmetros!$N$15:$Q$17,4,FALSE))</f>
        <v/>
      </c>
      <c r="R215" s="15"/>
    </row>
    <row r="216" spans="1:18">
      <c r="A216" s="15"/>
      <c r="B216" s="15"/>
      <c r="C216" s="15"/>
      <c r="D216" s="15"/>
      <c r="E216" s="15"/>
      <c r="F216" s="16" t="str">
        <f>IFERROR(VLOOKUP(E216,Parâmetros!$A$15:$B$18,2,FALSE),"")</f>
        <v/>
      </c>
      <c r="G216" s="16"/>
      <c r="H216" s="16" t="str">
        <f>IFERROR(VLOOKUP(G216,Parâmetros!$D$15:$E$18,2,FALSE),"")</f>
        <v/>
      </c>
      <c r="I216" s="16"/>
      <c r="J216" s="16" t="str">
        <f>IFERROR(VLOOKUP(I216,Parâmetros!$G$15:$H$18,2,FALSE),"")</f>
        <v/>
      </c>
      <c r="K216" s="16"/>
      <c r="L216" s="16" t="str">
        <f>IFERROR(VLOOKUP(K216,Parâmetros!$J$15:$K$18,2,FALSE),"")</f>
        <v/>
      </c>
      <c r="M216" s="17" t="str">
        <f>IF(COUNTA(E216,G216,I216,K216)&lt;4,"",F216*Parâmetros!$B$7+H216*Parâmetros!$B$8+J216*Parâmetros!$B$9+L216*Parâmetros!$B$10)</f>
        <v/>
      </c>
      <c r="N216" s="16" t="str">
        <f>IF(M216="","",IFERROR(VLOOKUP(M216,Parâmetros!$M$15:$O$17,2,TRUE),""))</f>
        <v/>
      </c>
      <c r="O216" s="18" t="str">
        <f>IF(N216="","",VLOOKUP(N216,Parâmetros!$N$15:$O$17,2,FALSE))</f>
        <v/>
      </c>
      <c r="P216" s="18" t="str">
        <f>IF(O216="","",O216*VLOOKUP(N216,Parâmetros!$N$15:$P$17,3,FALSE))</f>
        <v/>
      </c>
      <c r="Q216" s="18" t="str">
        <f>IF(O216="","",O216*VLOOKUP(N216,Parâmetros!$N$15:$Q$17,4,FALSE))</f>
        <v/>
      </c>
      <c r="R216" s="15"/>
    </row>
    <row r="217" spans="1:18">
      <c r="A217" s="15"/>
      <c r="B217" s="15"/>
      <c r="C217" s="15"/>
      <c r="D217" s="15"/>
      <c r="E217" s="15"/>
      <c r="F217" s="16" t="str">
        <f>IFERROR(VLOOKUP(E217,Parâmetros!$A$15:$B$18,2,FALSE),"")</f>
        <v/>
      </c>
      <c r="G217" s="16"/>
      <c r="H217" s="16" t="str">
        <f>IFERROR(VLOOKUP(G217,Parâmetros!$D$15:$E$18,2,FALSE),"")</f>
        <v/>
      </c>
      <c r="I217" s="16"/>
      <c r="J217" s="16" t="str">
        <f>IFERROR(VLOOKUP(I217,Parâmetros!$G$15:$H$18,2,FALSE),"")</f>
        <v/>
      </c>
      <c r="K217" s="16"/>
      <c r="L217" s="16" t="str">
        <f>IFERROR(VLOOKUP(K217,Parâmetros!$J$15:$K$18,2,FALSE),"")</f>
        <v/>
      </c>
      <c r="M217" s="17" t="str">
        <f>IF(COUNTA(E217,G217,I217,K217)&lt;4,"",F217*Parâmetros!$B$7+H217*Parâmetros!$B$8+J217*Parâmetros!$B$9+L217*Parâmetros!$B$10)</f>
        <v/>
      </c>
      <c r="N217" s="16" t="str">
        <f>IF(M217="","",IFERROR(VLOOKUP(M217,Parâmetros!$M$15:$O$17,2,TRUE),""))</f>
        <v/>
      </c>
      <c r="O217" s="18" t="str">
        <f>IF(N217="","",VLOOKUP(N217,Parâmetros!$N$15:$O$17,2,FALSE))</f>
        <v/>
      </c>
      <c r="P217" s="18" t="str">
        <f>IF(O217="","",O217*VLOOKUP(N217,Parâmetros!$N$15:$P$17,3,FALSE))</f>
        <v/>
      </c>
      <c r="Q217" s="18" t="str">
        <f>IF(O217="","",O217*VLOOKUP(N217,Parâmetros!$N$15:$Q$17,4,FALSE))</f>
        <v/>
      </c>
      <c r="R217" s="15"/>
    </row>
    <row r="218" spans="1:18">
      <c r="A218" s="15"/>
      <c r="B218" s="15"/>
      <c r="C218" s="15"/>
      <c r="D218" s="15"/>
      <c r="E218" s="15"/>
      <c r="F218" s="16" t="str">
        <f>IFERROR(VLOOKUP(E218,Parâmetros!$A$15:$B$18,2,FALSE),"")</f>
        <v/>
      </c>
      <c r="G218" s="16"/>
      <c r="H218" s="16" t="str">
        <f>IFERROR(VLOOKUP(G218,Parâmetros!$D$15:$E$18,2,FALSE),"")</f>
        <v/>
      </c>
      <c r="I218" s="16"/>
      <c r="J218" s="16" t="str">
        <f>IFERROR(VLOOKUP(I218,Parâmetros!$G$15:$H$18,2,FALSE),"")</f>
        <v/>
      </c>
      <c r="K218" s="16"/>
      <c r="L218" s="16" t="str">
        <f>IFERROR(VLOOKUP(K218,Parâmetros!$J$15:$K$18,2,FALSE),"")</f>
        <v/>
      </c>
      <c r="M218" s="17" t="str">
        <f>IF(COUNTA(E218,G218,I218,K218)&lt;4,"",F218*Parâmetros!$B$7+H218*Parâmetros!$B$8+J218*Parâmetros!$B$9+L218*Parâmetros!$B$10)</f>
        <v/>
      </c>
      <c r="N218" s="16" t="str">
        <f>IF(M218="","",IFERROR(VLOOKUP(M218,Parâmetros!$M$15:$O$17,2,TRUE),""))</f>
        <v/>
      </c>
      <c r="O218" s="18" t="str">
        <f>IF(N218="","",VLOOKUP(N218,Parâmetros!$N$15:$O$17,2,FALSE))</f>
        <v/>
      </c>
      <c r="P218" s="18" t="str">
        <f>IF(O218="","",O218*VLOOKUP(N218,Parâmetros!$N$15:$P$17,3,FALSE))</f>
        <v/>
      </c>
      <c r="Q218" s="18" t="str">
        <f>IF(O218="","",O218*VLOOKUP(N218,Parâmetros!$N$15:$Q$17,4,FALSE))</f>
        <v/>
      </c>
      <c r="R218" s="15"/>
    </row>
    <row r="219" spans="1:18">
      <c r="A219" s="15"/>
      <c r="B219" s="15"/>
      <c r="C219" s="15"/>
      <c r="D219" s="15"/>
      <c r="E219" s="15"/>
      <c r="F219" s="16" t="str">
        <f>IFERROR(VLOOKUP(E219,Parâmetros!$A$15:$B$18,2,FALSE),"")</f>
        <v/>
      </c>
      <c r="G219" s="16"/>
      <c r="H219" s="16" t="str">
        <f>IFERROR(VLOOKUP(G219,Parâmetros!$D$15:$E$18,2,FALSE),"")</f>
        <v/>
      </c>
      <c r="I219" s="16"/>
      <c r="J219" s="16" t="str">
        <f>IFERROR(VLOOKUP(I219,Parâmetros!$G$15:$H$18,2,FALSE),"")</f>
        <v/>
      </c>
      <c r="K219" s="16"/>
      <c r="L219" s="16" t="str">
        <f>IFERROR(VLOOKUP(K219,Parâmetros!$J$15:$K$18,2,FALSE),"")</f>
        <v/>
      </c>
      <c r="M219" s="17" t="str">
        <f>IF(COUNTA(E219,G219,I219,K219)&lt;4,"",F219*Parâmetros!$B$7+H219*Parâmetros!$B$8+J219*Parâmetros!$B$9+L219*Parâmetros!$B$10)</f>
        <v/>
      </c>
      <c r="N219" s="16" t="str">
        <f>IF(M219="","",IFERROR(VLOOKUP(M219,Parâmetros!$M$15:$O$17,2,TRUE),""))</f>
        <v/>
      </c>
      <c r="O219" s="18" t="str">
        <f>IF(N219="","",VLOOKUP(N219,Parâmetros!$N$15:$O$17,2,FALSE))</f>
        <v/>
      </c>
      <c r="P219" s="18" t="str">
        <f>IF(O219="","",O219*VLOOKUP(N219,Parâmetros!$N$15:$P$17,3,FALSE))</f>
        <v/>
      </c>
      <c r="Q219" s="18" t="str">
        <f>IF(O219="","",O219*VLOOKUP(N219,Parâmetros!$N$15:$Q$17,4,FALSE))</f>
        <v/>
      </c>
      <c r="R219" s="15"/>
    </row>
    <row r="220" spans="1:18">
      <c r="A220" s="15"/>
      <c r="B220" s="15"/>
      <c r="C220" s="15"/>
      <c r="D220" s="15"/>
      <c r="E220" s="15"/>
      <c r="F220" s="16" t="str">
        <f>IFERROR(VLOOKUP(E220,Parâmetros!$A$15:$B$18,2,FALSE),"")</f>
        <v/>
      </c>
      <c r="G220" s="16"/>
      <c r="H220" s="16" t="str">
        <f>IFERROR(VLOOKUP(G220,Parâmetros!$D$15:$E$18,2,FALSE),"")</f>
        <v/>
      </c>
      <c r="I220" s="16"/>
      <c r="J220" s="16" t="str">
        <f>IFERROR(VLOOKUP(I220,Parâmetros!$G$15:$H$18,2,FALSE),"")</f>
        <v/>
      </c>
      <c r="K220" s="16"/>
      <c r="L220" s="16" t="str">
        <f>IFERROR(VLOOKUP(K220,Parâmetros!$J$15:$K$18,2,FALSE),"")</f>
        <v/>
      </c>
      <c r="M220" s="17" t="str">
        <f>IF(COUNTA(E220,G220,I220,K220)&lt;4,"",F220*Parâmetros!$B$7+H220*Parâmetros!$B$8+J220*Parâmetros!$B$9+L220*Parâmetros!$B$10)</f>
        <v/>
      </c>
      <c r="N220" s="16" t="str">
        <f>IF(M220="","",IFERROR(VLOOKUP(M220,Parâmetros!$M$15:$O$17,2,TRUE),""))</f>
        <v/>
      </c>
      <c r="O220" s="18" t="str">
        <f>IF(N220="","",VLOOKUP(N220,Parâmetros!$N$15:$O$17,2,FALSE))</f>
        <v/>
      </c>
      <c r="P220" s="18" t="str">
        <f>IF(O220="","",O220*VLOOKUP(N220,Parâmetros!$N$15:$P$17,3,FALSE))</f>
        <v/>
      </c>
      <c r="Q220" s="18" t="str">
        <f>IF(O220="","",O220*VLOOKUP(N220,Parâmetros!$N$15:$Q$17,4,FALSE))</f>
        <v/>
      </c>
      <c r="R220" s="15"/>
    </row>
    <row r="221" spans="1:18">
      <c r="A221" s="15"/>
      <c r="B221" s="15"/>
      <c r="C221" s="15"/>
      <c r="D221" s="15"/>
      <c r="E221" s="15"/>
      <c r="F221" s="16" t="str">
        <f>IFERROR(VLOOKUP(E221,Parâmetros!$A$15:$B$18,2,FALSE),"")</f>
        <v/>
      </c>
      <c r="G221" s="16"/>
      <c r="H221" s="16" t="str">
        <f>IFERROR(VLOOKUP(G221,Parâmetros!$D$15:$E$18,2,FALSE),"")</f>
        <v/>
      </c>
      <c r="I221" s="16"/>
      <c r="J221" s="16" t="str">
        <f>IFERROR(VLOOKUP(I221,Parâmetros!$G$15:$H$18,2,FALSE),"")</f>
        <v/>
      </c>
      <c r="K221" s="16"/>
      <c r="L221" s="16" t="str">
        <f>IFERROR(VLOOKUP(K221,Parâmetros!$J$15:$K$18,2,FALSE),"")</f>
        <v/>
      </c>
      <c r="M221" s="17" t="str">
        <f>IF(COUNTA(E221,G221,I221,K221)&lt;4,"",F221*Parâmetros!$B$7+H221*Parâmetros!$B$8+J221*Parâmetros!$B$9+L221*Parâmetros!$B$10)</f>
        <v/>
      </c>
      <c r="N221" s="16" t="str">
        <f>IF(M221="","",IFERROR(VLOOKUP(M221,Parâmetros!$M$15:$O$17,2,TRUE),""))</f>
        <v/>
      </c>
      <c r="O221" s="18" t="str">
        <f>IF(N221="","",VLOOKUP(N221,Parâmetros!$N$15:$O$17,2,FALSE))</f>
        <v/>
      </c>
      <c r="P221" s="18" t="str">
        <f>IF(O221="","",O221*VLOOKUP(N221,Parâmetros!$N$15:$P$17,3,FALSE))</f>
        <v/>
      </c>
      <c r="Q221" s="18" t="str">
        <f>IF(O221="","",O221*VLOOKUP(N221,Parâmetros!$N$15:$Q$17,4,FALSE))</f>
        <v/>
      </c>
      <c r="R221" s="15"/>
    </row>
    <row r="222" spans="1:18">
      <c r="A222" s="15"/>
      <c r="B222" s="15"/>
      <c r="C222" s="15"/>
      <c r="D222" s="15"/>
      <c r="E222" s="15"/>
      <c r="F222" s="16" t="str">
        <f>IFERROR(VLOOKUP(E222,Parâmetros!$A$15:$B$18,2,FALSE),"")</f>
        <v/>
      </c>
      <c r="G222" s="16"/>
      <c r="H222" s="16" t="str">
        <f>IFERROR(VLOOKUP(G222,Parâmetros!$D$15:$E$18,2,FALSE),"")</f>
        <v/>
      </c>
      <c r="I222" s="16"/>
      <c r="J222" s="16" t="str">
        <f>IFERROR(VLOOKUP(I222,Parâmetros!$G$15:$H$18,2,FALSE),"")</f>
        <v/>
      </c>
      <c r="K222" s="16"/>
      <c r="L222" s="16" t="str">
        <f>IFERROR(VLOOKUP(K222,Parâmetros!$J$15:$K$18,2,FALSE),"")</f>
        <v/>
      </c>
      <c r="M222" s="17" t="str">
        <f>IF(COUNTA(E222,G222,I222,K222)&lt;4,"",F222*Parâmetros!$B$7+H222*Parâmetros!$B$8+J222*Parâmetros!$B$9+L222*Parâmetros!$B$10)</f>
        <v/>
      </c>
      <c r="N222" s="16" t="str">
        <f>IF(M222="","",IFERROR(VLOOKUP(M222,Parâmetros!$M$15:$O$17,2,TRUE),""))</f>
        <v/>
      </c>
      <c r="O222" s="18" t="str">
        <f>IF(N222="","",VLOOKUP(N222,Parâmetros!$N$15:$O$17,2,FALSE))</f>
        <v/>
      </c>
      <c r="P222" s="18" t="str">
        <f>IF(O222="","",O222*VLOOKUP(N222,Parâmetros!$N$15:$P$17,3,FALSE))</f>
        <v/>
      </c>
      <c r="Q222" s="18" t="str">
        <f>IF(O222="","",O222*VLOOKUP(N222,Parâmetros!$N$15:$Q$17,4,FALSE))</f>
        <v/>
      </c>
      <c r="R222" s="15"/>
    </row>
    <row r="223" spans="1:18">
      <c r="A223" s="15"/>
      <c r="B223" s="15"/>
      <c r="C223" s="15"/>
      <c r="D223" s="15"/>
      <c r="E223" s="15"/>
      <c r="F223" s="16" t="str">
        <f>IFERROR(VLOOKUP(E223,Parâmetros!$A$15:$B$18,2,FALSE),"")</f>
        <v/>
      </c>
      <c r="G223" s="16"/>
      <c r="H223" s="16" t="str">
        <f>IFERROR(VLOOKUP(G223,Parâmetros!$D$15:$E$18,2,FALSE),"")</f>
        <v/>
      </c>
      <c r="I223" s="16"/>
      <c r="J223" s="16" t="str">
        <f>IFERROR(VLOOKUP(I223,Parâmetros!$G$15:$H$18,2,FALSE),"")</f>
        <v/>
      </c>
      <c r="K223" s="16"/>
      <c r="L223" s="16" t="str">
        <f>IFERROR(VLOOKUP(K223,Parâmetros!$J$15:$K$18,2,FALSE),"")</f>
        <v/>
      </c>
      <c r="M223" s="17" t="str">
        <f>IF(COUNTA(E223,G223,I223,K223)&lt;4,"",F223*Parâmetros!$B$7+H223*Parâmetros!$B$8+J223*Parâmetros!$B$9+L223*Parâmetros!$B$10)</f>
        <v/>
      </c>
      <c r="N223" s="16" t="str">
        <f>IF(M223="","",IFERROR(VLOOKUP(M223,Parâmetros!$M$15:$O$17,2,TRUE),""))</f>
        <v/>
      </c>
      <c r="O223" s="18" t="str">
        <f>IF(N223="","",VLOOKUP(N223,Parâmetros!$N$15:$O$17,2,FALSE))</f>
        <v/>
      </c>
      <c r="P223" s="18" t="str">
        <f>IF(O223="","",O223*VLOOKUP(N223,Parâmetros!$N$15:$P$17,3,FALSE))</f>
        <v/>
      </c>
      <c r="Q223" s="18" t="str">
        <f>IF(O223="","",O223*VLOOKUP(N223,Parâmetros!$N$15:$Q$17,4,FALSE))</f>
        <v/>
      </c>
      <c r="R223" s="15"/>
    </row>
    <row r="224" spans="1:18">
      <c r="A224" s="15"/>
      <c r="B224" s="15"/>
      <c r="C224" s="15"/>
      <c r="D224" s="15"/>
      <c r="E224" s="15"/>
      <c r="F224" s="16" t="str">
        <f>IFERROR(VLOOKUP(E224,Parâmetros!$A$15:$B$18,2,FALSE),"")</f>
        <v/>
      </c>
      <c r="G224" s="16"/>
      <c r="H224" s="16" t="str">
        <f>IFERROR(VLOOKUP(G224,Parâmetros!$D$15:$E$18,2,FALSE),"")</f>
        <v/>
      </c>
      <c r="I224" s="16"/>
      <c r="J224" s="16" t="str">
        <f>IFERROR(VLOOKUP(I224,Parâmetros!$G$15:$H$18,2,FALSE),"")</f>
        <v/>
      </c>
      <c r="K224" s="16"/>
      <c r="L224" s="16" t="str">
        <f>IFERROR(VLOOKUP(K224,Parâmetros!$J$15:$K$18,2,FALSE),"")</f>
        <v/>
      </c>
      <c r="M224" s="17" t="str">
        <f>IF(COUNTA(E224,G224,I224,K224)&lt;4,"",F224*Parâmetros!$B$7+H224*Parâmetros!$B$8+J224*Parâmetros!$B$9+L224*Parâmetros!$B$10)</f>
        <v/>
      </c>
      <c r="N224" s="16" t="str">
        <f>IF(M224="","",IFERROR(VLOOKUP(M224,Parâmetros!$M$15:$O$17,2,TRUE),""))</f>
        <v/>
      </c>
      <c r="O224" s="18" t="str">
        <f>IF(N224="","",VLOOKUP(N224,Parâmetros!$N$15:$O$17,2,FALSE))</f>
        <v/>
      </c>
      <c r="P224" s="18" t="str">
        <f>IF(O224="","",O224*VLOOKUP(N224,Parâmetros!$N$15:$P$17,3,FALSE))</f>
        <v/>
      </c>
      <c r="Q224" s="18" t="str">
        <f>IF(O224="","",O224*VLOOKUP(N224,Parâmetros!$N$15:$Q$17,4,FALSE))</f>
        <v/>
      </c>
      <c r="R224" s="15"/>
    </row>
    <row r="225" spans="1:18">
      <c r="A225" s="15"/>
      <c r="B225" s="15"/>
      <c r="C225" s="15"/>
      <c r="D225" s="15"/>
      <c r="E225" s="15"/>
      <c r="F225" s="16" t="str">
        <f>IFERROR(VLOOKUP(E225,Parâmetros!$A$15:$B$18,2,FALSE),"")</f>
        <v/>
      </c>
      <c r="G225" s="16"/>
      <c r="H225" s="16" t="str">
        <f>IFERROR(VLOOKUP(G225,Parâmetros!$D$15:$E$18,2,FALSE),"")</f>
        <v/>
      </c>
      <c r="I225" s="16"/>
      <c r="J225" s="16" t="str">
        <f>IFERROR(VLOOKUP(I225,Parâmetros!$G$15:$H$18,2,FALSE),"")</f>
        <v/>
      </c>
      <c r="K225" s="16"/>
      <c r="L225" s="16" t="str">
        <f>IFERROR(VLOOKUP(K225,Parâmetros!$J$15:$K$18,2,FALSE),"")</f>
        <v/>
      </c>
      <c r="M225" s="17" t="str">
        <f>IF(COUNTA(E225,G225,I225,K225)&lt;4,"",F225*Parâmetros!$B$7+H225*Parâmetros!$B$8+J225*Parâmetros!$B$9+L225*Parâmetros!$B$10)</f>
        <v/>
      </c>
      <c r="N225" s="16" t="str">
        <f>IF(M225="","",IFERROR(VLOOKUP(M225,Parâmetros!$M$15:$O$17,2,TRUE),""))</f>
        <v/>
      </c>
      <c r="O225" s="18" t="str">
        <f>IF(N225="","",VLOOKUP(N225,Parâmetros!$N$15:$O$17,2,FALSE))</f>
        <v/>
      </c>
      <c r="P225" s="18" t="str">
        <f>IF(O225="","",O225*VLOOKUP(N225,Parâmetros!$N$15:$P$17,3,FALSE))</f>
        <v/>
      </c>
      <c r="Q225" s="18" t="str">
        <f>IF(O225="","",O225*VLOOKUP(N225,Parâmetros!$N$15:$Q$17,4,FALSE))</f>
        <v/>
      </c>
      <c r="R225" s="15"/>
    </row>
    <row r="226" spans="1:18">
      <c r="A226" s="15"/>
      <c r="B226" s="15"/>
      <c r="C226" s="15"/>
      <c r="D226" s="15"/>
      <c r="E226" s="15"/>
      <c r="F226" s="16" t="str">
        <f>IFERROR(VLOOKUP(E226,Parâmetros!$A$15:$B$18,2,FALSE),"")</f>
        <v/>
      </c>
      <c r="G226" s="16"/>
      <c r="H226" s="16" t="str">
        <f>IFERROR(VLOOKUP(G226,Parâmetros!$D$15:$E$18,2,FALSE),"")</f>
        <v/>
      </c>
      <c r="I226" s="16"/>
      <c r="J226" s="16" t="str">
        <f>IFERROR(VLOOKUP(I226,Parâmetros!$G$15:$H$18,2,FALSE),"")</f>
        <v/>
      </c>
      <c r="K226" s="16"/>
      <c r="L226" s="16" t="str">
        <f>IFERROR(VLOOKUP(K226,Parâmetros!$J$15:$K$18,2,FALSE),"")</f>
        <v/>
      </c>
      <c r="M226" s="17" t="str">
        <f>IF(COUNTA(E226,G226,I226,K226)&lt;4,"",F226*Parâmetros!$B$7+H226*Parâmetros!$B$8+J226*Parâmetros!$B$9+L226*Parâmetros!$B$10)</f>
        <v/>
      </c>
      <c r="N226" s="16" t="str">
        <f>IF(M226="","",IFERROR(VLOOKUP(M226,Parâmetros!$M$15:$O$17,2,TRUE),""))</f>
        <v/>
      </c>
      <c r="O226" s="18" t="str">
        <f>IF(N226="","",VLOOKUP(N226,Parâmetros!$N$15:$O$17,2,FALSE))</f>
        <v/>
      </c>
      <c r="P226" s="18" t="str">
        <f>IF(O226="","",O226*VLOOKUP(N226,Parâmetros!$N$15:$P$17,3,FALSE))</f>
        <v/>
      </c>
      <c r="Q226" s="18" t="str">
        <f>IF(O226="","",O226*VLOOKUP(N226,Parâmetros!$N$15:$Q$17,4,FALSE))</f>
        <v/>
      </c>
      <c r="R226" s="15"/>
    </row>
    <row r="227" spans="1:18">
      <c r="A227" s="15"/>
      <c r="B227" s="15"/>
      <c r="C227" s="15"/>
      <c r="D227" s="15"/>
      <c r="E227" s="15"/>
      <c r="F227" s="16" t="str">
        <f>IFERROR(VLOOKUP(E227,Parâmetros!$A$15:$B$18,2,FALSE),"")</f>
        <v/>
      </c>
      <c r="G227" s="16"/>
      <c r="H227" s="16" t="str">
        <f>IFERROR(VLOOKUP(G227,Parâmetros!$D$15:$E$18,2,FALSE),"")</f>
        <v/>
      </c>
      <c r="I227" s="16"/>
      <c r="J227" s="16" t="str">
        <f>IFERROR(VLOOKUP(I227,Parâmetros!$G$15:$H$18,2,FALSE),"")</f>
        <v/>
      </c>
      <c r="K227" s="16"/>
      <c r="L227" s="16" t="str">
        <f>IFERROR(VLOOKUP(K227,Parâmetros!$J$15:$K$18,2,FALSE),"")</f>
        <v/>
      </c>
      <c r="M227" s="17" t="str">
        <f>IF(COUNTA(E227,G227,I227,K227)&lt;4,"",F227*Parâmetros!$B$7+H227*Parâmetros!$B$8+J227*Parâmetros!$B$9+L227*Parâmetros!$B$10)</f>
        <v/>
      </c>
      <c r="N227" s="16" t="str">
        <f>IF(M227="","",IFERROR(VLOOKUP(M227,Parâmetros!$M$15:$O$17,2,TRUE),""))</f>
        <v/>
      </c>
      <c r="O227" s="18" t="str">
        <f>IF(N227="","",VLOOKUP(N227,Parâmetros!$N$15:$O$17,2,FALSE))</f>
        <v/>
      </c>
      <c r="P227" s="18" t="str">
        <f>IF(O227="","",O227*VLOOKUP(N227,Parâmetros!$N$15:$P$17,3,FALSE))</f>
        <v/>
      </c>
      <c r="Q227" s="18" t="str">
        <f>IF(O227="","",O227*VLOOKUP(N227,Parâmetros!$N$15:$Q$17,4,FALSE))</f>
        <v/>
      </c>
      <c r="R227" s="15"/>
    </row>
    <row r="228" spans="1:18">
      <c r="A228" s="15"/>
      <c r="B228" s="15"/>
      <c r="C228" s="15"/>
      <c r="D228" s="15"/>
      <c r="E228" s="15"/>
      <c r="F228" s="16" t="str">
        <f>IFERROR(VLOOKUP(E228,Parâmetros!$A$15:$B$18,2,FALSE),"")</f>
        <v/>
      </c>
      <c r="G228" s="16"/>
      <c r="H228" s="16" t="str">
        <f>IFERROR(VLOOKUP(G228,Parâmetros!$D$15:$E$18,2,FALSE),"")</f>
        <v/>
      </c>
      <c r="I228" s="16"/>
      <c r="J228" s="16" t="str">
        <f>IFERROR(VLOOKUP(I228,Parâmetros!$G$15:$H$18,2,FALSE),"")</f>
        <v/>
      </c>
      <c r="K228" s="16"/>
      <c r="L228" s="16" t="str">
        <f>IFERROR(VLOOKUP(K228,Parâmetros!$J$15:$K$18,2,FALSE),"")</f>
        <v/>
      </c>
      <c r="M228" s="17" t="str">
        <f>IF(COUNTA(E228,G228,I228,K228)&lt;4,"",F228*Parâmetros!$B$7+H228*Parâmetros!$B$8+J228*Parâmetros!$B$9+L228*Parâmetros!$B$10)</f>
        <v/>
      </c>
      <c r="N228" s="16" t="str">
        <f>IF(M228="","",IFERROR(VLOOKUP(M228,Parâmetros!$M$15:$O$17,2,TRUE),""))</f>
        <v/>
      </c>
      <c r="O228" s="18" t="str">
        <f>IF(N228="","",VLOOKUP(N228,Parâmetros!$N$15:$O$17,2,FALSE))</f>
        <v/>
      </c>
      <c r="P228" s="18" t="str">
        <f>IF(O228="","",O228*VLOOKUP(N228,Parâmetros!$N$15:$P$17,3,FALSE))</f>
        <v/>
      </c>
      <c r="Q228" s="18" t="str">
        <f>IF(O228="","",O228*VLOOKUP(N228,Parâmetros!$N$15:$Q$17,4,FALSE))</f>
        <v/>
      </c>
      <c r="R228" s="15"/>
    </row>
    <row r="229" spans="1:18">
      <c r="A229" s="15"/>
      <c r="B229" s="15"/>
      <c r="C229" s="15"/>
      <c r="D229" s="15"/>
      <c r="E229" s="15"/>
      <c r="F229" s="16" t="str">
        <f>IFERROR(VLOOKUP(E229,Parâmetros!$A$15:$B$18,2,FALSE),"")</f>
        <v/>
      </c>
      <c r="G229" s="16"/>
      <c r="H229" s="16" t="str">
        <f>IFERROR(VLOOKUP(G229,Parâmetros!$D$15:$E$18,2,FALSE),"")</f>
        <v/>
      </c>
      <c r="I229" s="16"/>
      <c r="J229" s="16" t="str">
        <f>IFERROR(VLOOKUP(I229,Parâmetros!$G$15:$H$18,2,FALSE),"")</f>
        <v/>
      </c>
      <c r="K229" s="16"/>
      <c r="L229" s="16" t="str">
        <f>IFERROR(VLOOKUP(K229,Parâmetros!$J$15:$K$18,2,FALSE),"")</f>
        <v/>
      </c>
      <c r="M229" s="17" t="str">
        <f>IF(COUNTA(E229,G229,I229,K229)&lt;4,"",F229*Parâmetros!$B$7+H229*Parâmetros!$B$8+J229*Parâmetros!$B$9+L229*Parâmetros!$B$10)</f>
        <v/>
      </c>
      <c r="N229" s="16" t="str">
        <f>IF(M229="","",IFERROR(VLOOKUP(M229,Parâmetros!$M$15:$O$17,2,TRUE),""))</f>
        <v/>
      </c>
      <c r="O229" s="18" t="str">
        <f>IF(N229="","",VLOOKUP(N229,Parâmetros!$N$15:$O$17,2,FALSE))</f>
        <v/>
      </c>
      <c r="P229" s="18" t="str">
        <f>IF(O229="","",O229*VLOOKUP(N229,Parâmetros!$N$15:$P$17,3,FALSE))</f>
        <v/>
      </c>
      <c r="Q229" s="18" t="str">
        <f>IF(O229="","",O229*VLOOKUP(N229,Parâmetros!$N$15:$Q$17,4,FALSE))</f>
        <v/>
      </c>
      <c r="R229" s="15"/>
    </row>
    <row r="230" spans="1:18">
      <c r="A230" s="15"/>
      <c r="B230" s="15"/>
      <c r="C230" s="15"/>
      <c r="D230" s="15"/>
      <c r="E230" s="15"/>
      <c r="F230" s="16" t="str">
        <f>IFERROR(VLOOKUP(E230,Parâmetros!$A$15:$B$18,2,FALSE),"")</f>
        <v/>
      </c>
      <c r="G230" s="16"/>
      <c r="H230" s="16" t="str">
        <f>IFERROR(VLOOKUP(G230,Parâmetros!$D$15:$E$18,2,FALSE),"")</f>
        <v/>
      </c>
      <c r="I230" s="16"/>
      <c r="J230" s="16" t="str">
        <f>IFERROR(VLOOKUP(I230,Parâmetros!$G$15:$H$18,2,FALSE),"")</f>
        <v/>
      </c>
      <c r="K230" s="16"/>
      <c r="L230" s="16" t="str">
        <f>IFERROR(VLOOKUP(K230,Parâmetros!$J$15:$K$18,2,FALSE),"")</f>
        <v/>
      </c>
      <c r="M230" s="17" t="str">
        <f>IF(COUNTA(E230,G230,I230,K230)&lt;4,"",F230*Parâmetros!$B$7+H230*Parâmetros!$B$8+J230*Parâmetros!$B$9+L230*Parâmetros!$B$10)</f>
        <v/>
      </c>
      <c r="N230" s="16" t="str">
        <f>IF(M230="","",IFERROR(VLOOKUP(M230,Parâmetros!$M$15:$O$17,2,TRUE),""))</f>
        <v/>
      </c>
      <c r="O230" s="18" t="str">
        <f>IF(N230="","",VLOOKUP(N230,Parâmetros!$N$15:$O$17,2,FALSE))</f>
        <v/>
      </c>
      <c r="P230" s="18" t="str">
        <f>IF(O230="","",O230*VLOOKUP(N230,Parâmetros!$N$15:$P$17,3,FALSE))</f>
        <v/>
      </c>
      <c r="Q230" s="18" t="str">
        <f>IF(O230="","",O230*VLOOKUP(N230,Parâmetros!$N$15:$Q$17,4,FALSE))</f>
        <v/>
      </c>
      <c r="R230" s="15"/>
    </row>
    <row r="231" spans="1:18">
      <c r="A231" s="15"/>
      <c r="B231" s="15"/>
      <c r="C231" s="15"/>
      <c r="D231" s="15"/>
      <c r="E231" s="15"/>
      <c r="F231" s="16" t="str">
        <f>IFERROR(VLOOKUP(E231,Parâmetros!$A$15:$B$18,2,FALSE),"")</f>
        <v/>
      </c>
      <c r="G231" s="16"/>
      <c r="H231" s="16" t="str">
        <f>IFERROR(VLOOKUP(G231,Parâmetros!$D$15:$E$18,2,FALSE),"")</f>
        <v/>
      </c>
      <c r="I231" s="16"/>
      <c r="J231" s="16" t="str">
        <f>IFERROR(VLOOKUP(I231,Parâmetros!$G$15:$H$18,2,FALSE),"")</f>
        <v/>
      </c>
      <c r="K231" s="16"/>
      <c r="L231" s="16" t="str">
        <f>IFERROR(VLOOKUP(K231,Parâmetros!$J$15:$K$18,2,FALSE),"")</f>
        <v/>
      </c>
      <c r="M231" s="17" t="str">
        <f>IF(COUNTA(E231,G231,I231,K231)&lt;4,"",F231*Parâmetros!$B$7+H231*Parâmetros!$B$8+J231*Parâmetros!$B$9+L231*Parâmetros!$B$10)</f>
        <v/>
      </c>
      <c r="N231" s="16" t="str">
        <f>IF(M231="","",IFERROR(VLOOKUP(M231,Parâmetros!$M$15:$O$17,2,TRUE),""))</f>
        <v/>
      </c>
      <c r="O231" s="18" t="str">
        <f>IF(N231="","",VLOOKUP(N231,Parâmetros!$N$15:$O$17,2,FALSE))</f>
        <v/>
      </c>
      <c r="P231" s="18" t="str">
        <f>IF(O231="","",O231*VLOOKUP(N231,Parâmetros!$N$15:$P$17,3,FALSE))</f>
        <v/>
      </c>
      <c r="Q231" s="18" t="str">
        <f>IF(O231="","",O231*VLOOKUP(N231,Parâmetros!$N$15:$Q$17,4,FALSE))</f>
        <v/>
      </c>
      <c r="R231" s="15"/>
    </row>
    <row r="232" spans="1:18">
      <c r="A232" s="15"/>
      <c r="B232" s="15"/>
      <c r="C232" s="15"/>
      <c r="D232" s="15"/>
      <c r="E232" s="15"/>
      <c r="F232" s="16" t="str">
        <f>IFERROR(VLOOKUP(E232,Parâmetros!$A$15:$B$18,2,FALSE),"")</f>
        <v/>
      </c>
      <c r="G232" s="16"/>
      <c r="H232" s="16" t="str">
        <f>IFERROR(VLOOKUP(G232,Parâmetros!$D$15:$E$18,2,FALSE),"")</f>
        <v/>
      </c>
      <c r="I232" s="16"/>
      <c r="J232" s="16" t="str">
        <f>IFERROR(VLOOKUP(I232,Parâmetros!$G$15:$H$18,2,FALSE),"")</f>
        <v/>
      </c>
      <c r="K232" s="16"/>
      <c r="L232" s="16" t="str">
        <f>IFERROR(VLOOKUP(K232,Parâmetros!$J$15:$K$18,2,FALSE),"")</f>
        <v/>
      </c>
      <c r="M232" s="17" t="str">
        <f>IF(COUNTA(E232,G232,I232,K232)&lt;4,"",F232*Parâmetros!$B$7+H232*Parâmetros!$B$8+J232*Parâmetros!$B$9+L232*Parâmetros!$B$10)</f>
        <v/>
      </c>
      <c r="N232" s="16" t="str">
        <f>IF(M232="","",IFERROR(VLOOKUP(M232,Parâmetros!$M$15:$O$17,2,TRUE),""))</f>
        <v/>
      </c>
      <c r="O232" s="18" t="str">
        <f>IF(N232="","",VLOOKUP(N232,Parâmetros!$N$15:$O$17,2,FALSE))</f>
        <v/>
      </c>
      <c r="P232" s="18" t="str">
        <f>IF(O232="","",O232*VLOOKUP(N232,Parâmetros!$N$15:$P$17,3,FALSE))</f>
        <v/>
      </c>
      <c r="Q232" s="18" t="str">
        <f>IF(O232="","",O232*VLOOKUP(N232,Parâmetros!$N$15:$Q$17,4,FALSE))</f>
        <v/>
      </c>
      <c r="R232" s="15"/>
    </row>
    <row r="233" spans="1:18">
      <c r="A233" s="15"/>
      <c r="B233" s="15"/>
      <c r="C233" s="15"/>
      <c r="D233" s="15"/>
      <c r="E233" s="15"/>
      <c r="F233" s="16" t="str">
        <f>IFERROR(VLOOKUP(E233,Parâmetros!$A$15:$B$18,2,FALSE),"")</f>
        <v/>
      </c>
      <c r="G233" s="16"/>
      <c r="H233" s="16" t="str">
        <f>IFERROR(VLOOKUP(G233,Parâmetros!$D$15:$E$18,2,FALSE),"")</f>
        <v/>
      </c>
      <c r="I233" s="16"/>
      <c r="J233" s="16" t="str">
        <f>IFERROR(VLOOKUP(I233,Parâmetros!$G$15:$H$18,2,FALSE),"")</f>
        <v/>
      </c>
      <c r="K233" s="16"/>
      <c r="L233" s="16" t="str">
        <f>IFERROR(VLOOKUP(K233,Parâmetros!$J$15:$K$18,2,FALSE),"")</f>
        <v/>
      </c>
      <c r="M233" s="17" t="str">
        <f>IF(COUNTA(E233,G233,I233,K233)&lt;4,"",F233*Parâmetros!$B$7+H233*Parâmetros!$B$8+J233*Parâmetros!$B$9+L233*Parâmetros!$B$10)</f>
        <v/>
      </c>
      <c r="N233" s="16" t="str">
        <f>IF(M233="","",IFERROR(VLOOKUP(M233,Parâmetros!$M$15:$O$17,2,TRUE),""))</f>
        <v/>
      </c>
      <c r="O233" s="18" t="str">
        <f>IF(N233="","",VLOOKUP(N233,Parâmetros!$N$15:$O$17,2,FALSE))</f>
        <v/>
      </c>
      <c r="P233" s="18" t="str">
        <f>IF(O233="","",O233*VLOOKUP(N233,Parâmetros!$N$15:$P$17,3,FALSE))</f>
        <v/>
      </c>
      <c r="Q233" s="18" t="str">
        <f>IF(O233="","",O233*VLOOKUP(N233,Parâmetros!$N$15:$Q$17,4,FALSE))</f>
        <v/>
      </c>
      <c r="R233" s="15"/>
    </row>
    <row r="234" spans="1:18">
      <c r="A234" s="15"/>
      <c r="B234" s="15"/>
      <c r="C234" s="15"/>
      <c r="D234" s="15"/>
      <c r="E234" s="15"/>
      <c r="F234" s="16" t="str">
        <f>IFERROR(VLOOKUP(E234,Parâmetros!$A$15:$B$18,2,FALSE),"")</f>
        <v/>
      </c>
      <c r="G234" s="16"/>
      <c r="H234" s="16" t="str">
        <f>IFERROR(VLOOKUP(G234,Parâmetros!$D$15:$E$18,2,FALSE),"")</f>
        <v/>
      </c>
      <c r="I234" s="16"/>
      <c r="J234" s="16" t="str">
        <f>IFERROR(VLOOKUP(I234,Parâmetros!$G$15:$H$18,2,FALSE),"")</f>
        <v/>
      </c>
      <c r="K234" s="16"/>
      <c r="L234" s="16" t="str">
        <f>IFERROR(VLOOKUP(K234,Parâmetros!$J$15:$K$18,2,FALSE),"")</f>
        <v/>
      </c>
      <c r="M234" s="17" t="str">
        <f>IF(COUNTA(E234,G234,I234,K234)&lt;4,"",F234*Parâmetros!$B$7+H234*Parâmetros!$B$8+J234*Parâmetros!$B$9+L234*Parâmetros!$B$10)</f>
        <v/>
      </c>
      <c r="N234" s="16" t="str">
        <f>IF(M234="","",IFERROR(VLOOKUP(M234,Parâmetros!$M$15:$O$17,2,TRUE),""))</f>
        <v/>
      </c>
      <c r="O234" s="18" t="str">
        <f>IF(N234="","",VLOOKUP(N234,Parâmetros!$N$15:$O$17,2,FALSE))</f>
        <v/>
      </c>
      <c r="P234" s="18" t="str">
        <f>IF(O234="","",O234*VLOOKUP(N234,Parâmetros!$N$15:$P$17,3,FALSE))</f>
        <v/>
      </c>
      <c r="Q234" s="18" t="str">
        <f>IF(O234="","",O234*VLOOKUP(N234,Parâmetros!$N$15:$Q$17,4,FALSE))</f>
        <v/>
      </c>
      <c r="R234" s="15"/>
    </row>
    <row r="235" spans="1:18">
      <c r="A235" s="15"/>
      <c r="B235" s="15"/>
      <c r="C235" s="15"/>
      <c r="D235" s="15"/>
      <c r="E235" s="15"/>
      <c r="F235" s="16" t="str">
        <f>IFERROR(VLOOKUP(E235,Parâmetros!$A$15:$B$18,2,FALSE),"")</f>
        <v/>
      </c>
      <c r="G235" s="16"/>
      <c r="H235" s="16" t="str">
        <f>IFERROR(VLOOKUP(G235,Parâmetros!$D$15:$E$18,2,FALSE),"")</f>
        <v/>
      </c>
      <c r="I235" s="16"/>
      <c r="J235" s="16" t="str">
        <f>IFERROR(VLOOKUP(I235,Parâmetros!$G$15:$H$18,2,FALSE),"")</f>
        <v/>
      </c>
      <c r="K235" s="16"/>
      <c r="L235" s="16" t="str">
        <f>IFERROR(VLOOKUP(K235,Parâmetros!$J$15:$K$18,2,FALSE),"")</f>
        <v/>
      </c>
      <c r="M235" s="17" t="str">
        <f>IF(COUNTA(E235,G235,I235,K235)&lt;4,"",F235*Parâmetros!$B$7+H235*Parâmetros!$B$8+J235*Parâmetros!$B$9+L235*Parâmetros!$B$10)</f>
        <v/>
      </c>
      <c r="N235" s="16" t="str">
        <f>IF(M235="","",IFERROR(VLOOKUP(M235,Parâmetros!$M$15:$O$17,2,TRUE),""))</f>
        <v/>
      </c>
      <c r="O235" s="18" t="str">
        <f>IF(N235="","",VLOOKUP(N235,Parâmetros!$N$15:$O$17,2,FALSE))</f>
        <v/>
      </c>
      <c r="P235" s="18" t="str">
        <f>IF(O235="","",O235*VLOOKUP(N235,Parâmetros!$N$15:$P$17,3,FALSE))</f>
        <v/>
      </c>
      <c r="Q235" s="18" t="str">
        <f>IF(O235="","",O235*VLOOKUP(N235,Parâmetros!$N$15:$Q$17,4,FALSE))</f>
        <v/>
      </c>
      <c r="R235" s="15"/>
    </row>
    <row r="236" spans="1:18">
      <c r="A236" s="15"/>
      <c r="B236" s="15"/>
      <c r="C236" s="15"/>
      <c r="D236" s="15"/>
      <c r="E236" s="15"/>
      <c r="F236" s="16" t="str">
        <f>IFERROR(VLOOKUP(E236,Parâmetros!$A$15:$B$18,2,FALSE),"")</f>
        <v/>
      </c>
      <c r="G236" s="16"/>
      <c r="H236" s="16" t="str">
        <f>IFERROR(VLOOKUP(G236,Parâmetros!$D$15:$E$18,2,FALSE),"")</f>
        <v/>
      </c>
      <c r="I236" s="16"/>
      <c r="J236" s="16" t="str">
        <f>IFERROR(VLOOKUP(I236,Parâmetros!$G$15:$H$18,2,FALSE),"")</f>
        <v/>
      </c>
      <c r="K236" s="16"/>
      <c r="L236" s="16" t="str">
        <f>IFERROR(VLOOKUP(K236,Parâmetros!$J$15:$K$18,2,FALSE),"")</f>
        <v/>
      </c>
      <c r="M236" s="17" t="str">
        <f>IF(COUNTA(E236,G236,I236,K236)&lt;4,"",F236*Parâmetros!$B$7+H236*Parâmetros!$B$8+J236*Parâmetros!$B$9+L236*Parâmetros!$B$10)</f>
        <v/>
      </c>
      <c r="N236" s="16" t="str">
        <f>IF(M236="","",IFERROR(VLOOKUP(M236,Parâmetros!$M$15:$O$17,2,TRUE),""))</f>
        <v/>
      </c>
      <c r="O236" s="18" t="str">
        <f>IF(N236="","",VLOOKUP(N236,Parâmetros!$N$15:$O$17,2,FALSE))</f>
        <v/>
      </c>
      <c r="P236" s="18" t="str">
        <f>IF(O236="","",O236*VLOOKUP(N236,Parâmetros!$N$15:$P$17,3,FALSE))</f>
        <v/>
      </c>
      <c r="Q236" s="18" t="str">
        <f>IF(O236="","",O236*VLOOKUP(N236,Parâmetros!$N$15:$Q$17,4,FALSE))</f>
        <v/>
      </c>
      <c r="R236" s="15"/>
    </row>
    <row r="237" spans="1:18">
      <c r="A237" s="15"/>
      <c r="B237" s="15"/>
      <c r="C237" s="15"/>
      <c r="D237" s="15"/>
      <c r="E237" s="15"/>
      <c r="F237" s="16" t="str">
        <f>IFERROR(VLOOKUP(E237,Parâmetros!$A$15:$B$18,2,FALSE),"")</f>
        <v/>
      </c>
      <c r="G237" s="16"/>
      <c r="H237" s="16" t="str">
        <f>IFERROR(VLOOKUP(G237,Parâmetros!$D$15:$E$18,2,FALSE),"")</f>
        <v/>
      </c>
      <c r="I237" s="16"/>
      <c r="J237" s="16" t="str">
        <f>IFERROR(VLOOKUP(I237,Parâmetros!$G$15:$H$18,2,FALSE),"")</f>
        <v/>
      </c>
      <c r="K237" s="16"/>
      <c r="L237" s="16" t="str">
        <f>IFERROR(VLOOKUP(K237,Parâmetros!$J$15:$K$18,2,FALSE),"")</f>
        <v/>
      </c>
      <c r="M237" s="17" t="str">
        <f>IF(COUNTA(E237,G237,I237,K237)&lt;4,"",F237*Parâmetros!$B$7+H237*Parâmetros!$B$8+J237*Parâmetros!$B$9+L237*Parâmetros!$B$10)</f>
        <v/>
      </c>
      <c r="N237" s="16" t="str">
        <f>IF(M237="","",IFERROR(VLOOKUP(M237,Parâmetros!$M$15:$O$17,2,TRUE),""))</f>
        <v/>
      </c>
      <c r="O237" s="18" t="str">
        <f>IF(N237="","",VLOOKUP(N237,Parâmetros!$N$15:$O$17,2,FALSE))</f>
        <v/>
      </c>
      <c r="P237" s="18" t="str">
        <f>IF(O237="","",O237*VLOOKUP(N237,Parâmetros!$N$15:$P$17,3,FALSE))</f>
        <v/>
      </c>
      <c r="Q237" s="18" t="str">
        <f>IF(O237="","",O237*VLOOKUP(N237,Parâmetros!$N$15:$Q$17,4,FALSE))</f>
        <v/>
      </c>
      <c r="R237" s="15"/>
    </row>
    <row r="238" spans="1:18">
      <c r="A238" s="15"/>
      <c r="B238" s="15"/>
      <c r="C238" s="15"/>
      <c r="D238" s="15"/>
      <c r="E238" s="15"/>
      <c r="F238" s="16" t="str">
        <f>IFERROR(VLOOKUP(E238,Parâmetros!$A$15:$B$18,2,FALSE),"")</f>
        <v/>
      </c>
      <c r="G238" s="16"/>
      <c r="H238" s="16" t="str">
        <f>IFERROR(VLOOKUP(G238,Parâmetros!$D$15:$E$18,2,FALSE),"")</f>
        <v/>
      </c>
      <c r="I238" s="16"/>
      <c r="J238" s="16" t="str">
        <f>IFERROR(VLOOKUP(I238,Parâmetros!$G$15:$H$18,2,FALSE),"")</f>
        <v/>
      </c>
      <c r="K238" s="16"/>
      <c r="L238" s="16" t="str">
        <f>IFERROR(VLOOKUP(K238,Parâmetros!$J$15:$K$18,2,FALSE),"")</f>
        <v/>
      </c>
      <c r="M238" s="17" t="str">
        <f>IF(COUNTA(E238,G238,I238,K238)&lt;4,"",F238*Parâmetros!$B$7+H238*Parâmetros!$B$8+J238*Parâmetros!$B$9+L238*Parâmetros!$B$10)</f>
        <v/>
      </c>
      <c r="N238" s="16" t="str">
        <f>IF(M238="","",IFERROR(VLOOKUP(M238,Parâmetros!$M$15:$O$17,2,TRUE),""))</f>
        <v/>
      </c>
      <c r="O238" s="18" t="str">
        <f>IF(N238="","",VLOOKUP(N238,Parâmetros!$N$15:$O$17,2,FALSE))</f>
        <v/>
      </c>
      <c r="P238" s="18" t="str">
        <f>IF(O238="","",O238*VLOOKUP(N238,Parâmetros!$N$15:$P$17,3,FALSE))</f>
        <v/>
      </c>
      <c r="Q238" s="18" t="str">
        <f>IF(O238="","",O238*VLOOKUP(N238,Parâmetros!$N$15:$Q$17,4,FALSE))</f>
        <v/>
      </c>
      <c r="R238" s="15"/>
    </row>
    <row r="239" spans="1:18">
      <c r="A239" s="15"/>
      <c r="B239" s="15"/>
      <c r="C239" s="15"/>
      <c r="D239" s="15"/>
      <c r="E239" s="15"/>
      <c r="F239" s="16" t="str">
        <f>IFERROR(VLOOKUP(E239,Parâmetros!$A$15:$B$18,2,FALSE),"")</f>
        <v/>
      </c>
      <c r="G239" s="16"/>
      <c r="H239" s="16" t="str">
        <f>IFERROR(VLOOKUP(G239,Parâmetros!$D$15:$E$18,2,FALSE),"")</f>
        <v/>
      </c>
      <c r="I239" s="16"/>
      <c r="J239" s="16" t="str">
        <f>IFERROR(VLOOKUP(I239,Parâmetros!$G$15:$H$18,2,FALSE),"")</f>
        <v/>
      </c>
      <c r="K239" s="16"/>
      <c r="L239" s="16" t="str">
        <f>IFERROR(VLOOKUP(K239,Parâmetros!$J$15:$K$18,2,FALSE),"")</f>
        <v/>
      </c>
      <c r="M239" s="17" t="str">
        <f>IF(COUNTA(E239,G239,I239,K239)&lt;4,"",F239*Parâmetros!$B$7+H239*Parâmetros!$B$8+J239*Parâmetros!$B$9+L239*Parâmetros!$B$10)</f>
        <v/>
      </c>
      <c r="N239" s="16" t="str">
        <f>IF(M239="","",IFERROR(VLOOKUP(M239,Parâmetros!$M$15:$O$17,2,TRUE),""))</f>
        <v/>
      </c>
      <c r="O239" s="18" t="str">
        <f>IF(N239="","",VLOOKUP(N239,Parâmetros!$N$15:$O$17,2,FALSE))</f>
        <v/>
      </c>
      <c r="P239" s="18" t="str">
        <f>IF(O239="","",O239*VLOOKUP(N239,Parâmetros!$N$15:$P$17,3,FALSE))</f>
        <v/>
      </c>
      <c r="Q239" s="18" t="str">
        <f>IF(O239="","",O239*VLOOKUP(N239,Parâmetros!$N$15:$Q$17,4,FALSE))</f>
        <v/>
      </c>
      <c r="R239" s="15"/>
    </row>
    <row r="240" spans="1:18">
      <c r="A240" s="15"/>
      <c r="B240" s="15"/>
      <c r="C240" s="15"/>
      <c r="D240" s="15"/>
      <c r="E240" s="15"/>
      <c r="F240" s="16" t="str">
        <f>IFERROR(VLOOKUP(E240,Parâmetros!$A$15:$B$18,2,FALSE),"")</f>
        <v/>
      </c>
      <c r="G240" s="16"/>
      <c r="H240" s="16" t="str">
        <f>IFERROR(VLOOKUP(G240,Parâmetros!$D$15:$E$18,2,FALSE),"")</f>
        <v/>
      </c>
      <c r="I240" s="16"/>
      <c r="J240" s="16" t="str">
        <f>IFERROR(VLOOKUP(I240,Parâmetros!$G$15:$H$18,2,FALSE),"")</f>
        <v/>
      </c>
      <c r="K240" s="16"/>
      <c r="L240" s="16" t="str">
        <f>IFERROR(VLOOKUP(K240,Parâmetros!$J$15:$K$18,2,FALSE),"")</f>
        <v/>
      </c>
      <c r="M240" s="17" t="str">
        <f>IF(COUNTA(E240,G240,I240,K240)&lt;4,"",F240*Parâmetros!$B$7+H240*Parâmetros!$B$8+J240*Parâmetros!$B$9+L240*Parâmetros!$B$10)</f>
        <v/>
      </c>
      <c r="N240" s="16" t="str">
        <f>IF(M240="","",IFERROR(VLOOKUP(M240,Parâmetros!$M$15:$O$17,2,TRUE),""))</f>
        <v/>
      </c>
      <c r="O240" s="18" t="str">
        <f>IF(N240="","",VLOOKUP(N240,Parâmetros!$N$15:$O$17,2,FALSE))</f>
        <v/>
      </c>
      <c r="P240" s="18" t="str">
        <f>IF(O240="","",O240*VLOOKUP(N240,Parâmetros!$N$15:$P$17,3,FALSE))</f>
        <v/>
      </c>
      <c r="Q240" s="18" t="str">
        <f>IF(O240="","",O240*VLOOKUP(N240,Parâmetros!$N$15:$Q$17,4,FALSE))</f>
        <v/>
      </c>
      <c r="R240" s="15"/>
    </row>
    <row r="241" spans="1:18">
      <c r="A241" s="15"/>
      <c r="B241" s="15"/>
      <c r="C241" s="15"/>
      <c r="D241" s="15"/>
      <c r="E241" s="15"/>
      <c r="F241" s="16" t="str">
        <f>IFERROR(VLOOKUP(E241,Parâmetros!$A$15:$B$18,2,FALSE),"")</f>
        <v/>
      </c>
      <c r="G241" s="16"/>
      <c r="H241" s="16" t="str">
        <f>IFERROR(VLOOKUP(G241,Parâmetros!$D$15:$E$18,2,FALSE),"")</f>
        <v/>
      </c>
      <c r="I241" s="16"/>
      <c r="J241" s="16" t="str">
        <f>IFERROR(VLOOKUP(I241,Parâmetros!$G$15:$H$18,2,FALSE),"")</f>
        <v/>
      </c>
      <c r="K241" s="16"/>
      <c r="L241" s="16" t="str">
        <f>IFERROR(VLOOKUP(K241,Parâmetros!$J$15:$K$18,2,FALSE),"")</f>
        <v/>
      </c>
      <c r="M241" s="17" t="str">
        <f>IF(COUNTA(E241,G241,I241,K241)&lt;4,"",F241*Parâmetros!$B$7+H241*Parâmetros!$B$8+J241*Parâmetros!$B$9+L241*Parâmetros!$B$10)</f>
        <v/>
      </c>
      <c r="N241" s="16" t="str">
        <f>IF(M241="","",IFERROR(VLOOKUP(M241,Parâmetros!$M$15:$O$17,2,TRUE),""))</f>
        <v/>
      </c>
      <c r="O241" s="18" t="str">
        <f>IF(N241="","",VLOOKUP(N241,Parâmetros!$N$15:$O$17,2,FALSE))</f>
        <v/>
      </c>
      <c r="P241" s="18" t="str">
        <f>IF(O241="","",O241*VLOOKUP(N241,Parâmetros!$N$15:$P$17,3,FALSE))</f>
        <v/>
      </c>
      <c r="Q241" s="18" t="str">
        <f>IF(O241="","",O241*VLOOKUP(N241,Parâmetros!$N$15:$Q$17,4,FALSE))</f>
        <v/>
      </c>
      <c r="R241" s="15"/>
    </row>
    <row r="242" spans="1:18">
      <c r="A242" s="15"/>
      <c r="B242" s="15"/>
      <c r="C242" s="15"/>
      <c r="D242" s="15"/>
      <c r="E242" s="15"/>
      <c r="F242" s="16" t="str">
        <f>IFERROR(VLOOKUP(E242,Parâmetros!$A$15:$B$18,2,FALSE),"")</f>
        <v/>
      </c>
      <c r="G242" s="16"/>
      <c r="H242" s="16" t="str">
        <f>IFERROR(VLOOKUP(G242,Parâmetros!$D$15:$E$18,2,FALSE),"")</f>
        <v/>
      </c>
      <c r="I242" s="16"/>
      <c r="J242" s="16" t="str">
        <f>IFERROR(VLOOKUP(I242,Parâmetros!$G$15:$H$18,2,FALSE),"")</f>
        <v/>
      </c>
      <c r="K242" s="16"/>
      <c r="L242" s="16" t="str">
        <f>IFERROR(VLOOKUP(K242,Parâmetros!$J$15:$K$18,2,FALSE),"")</f>
        <v/>
      </c>
      <c r="M242" s="17" t="str">
        <f>IF(COUNTA(E242,G242,I242,K242)&lt;4,"",F242*Parâmetros!$B$7+H242*Parâmetros!$B$8+J242*Parâmetros!$B$9+L242*Parâmetros!$B$10)</f>
        <v/>
      </c>
      <c r="N242" s="16" t="str">
        <f>IF(M242="","",IFERROR(VLOOKUP(M242,Parâmetros!$M$15:$O$17,2,TRUE),""))</f>
        <v/>
      </c>
      <c r="O242" s="18" t="str">
        <f>IF(N242="","",VLOOKUP(N242,Parâmetros!$N$15:$O$17,2,FALSE))</f>
        <v/>
      </c>
      <c r="P242" s="18" t="str">
        <f>IF(O242="","",O242*VLOOKUP(N242,Parâmetros!$N$15:$P$17,3,FALSE))</f>
        <v/>
      </c>
      <c r="Q242" s="18" t="str">
        <f>IF(O242="","",O242*VLOOKUP(N242,Parâmetros!$N$15:$Q$17,4,FALSE))</f>
        <v/>
      </c>
      <c r="R242" s="15"/>
    </row>
    <row r="243" spans="1:18">
      <c r="A243" s="15"/>
      <c r="B243" s="15"/>
      <c r="C243" s="15"/>
      <c r="D243" s="15"/>
      <c r="E243" s="15"/>
      <c r="F243" s="16" t="str">
        <f>IFERROR(VLOOKUP(E243,Parâmetros!$A$15:$B$18,2,FALSE),"")</f>
        <v/>
      </c>
      <c r="G243" s="16"/>
      <c r="H243" s="16" t="str">
        <f>IFERROR(VLOOKUP(G243,Parâmetros!$D$15:$E$18,2,FALSE),"")</f>
        <v/>
      </c>
      <c r="I243" s="16"/>
      <c r="J243" s="16" t="str">
        <f>IFERROR(VLOOKUP(I243,Parâmetros!$G$15:$H$18,2,FALSE),"")</f>
        <v/>
      </c>
      <c r="K243" s="16"/>
      <c r="L243" s="16" t="str">
        <f>IFERROR(VLOOKUP(K243,Parâmetros!$J$15:$K$18,2,FALSE),"")</f>
        <v/>
      </c>
      <c r="M243" s="17" t="str">
        <f>IF(COUNTA(E243,G243,I243,K243)&lt;4,"",F243*Parâmetros!$B$7+H243*Parâmetros!$B$8+J243*Parâmetros!$B$9+L243*Parâmetros!$B$10)</f>
        <v/>
      </c>
      <c r="N243" s="16" t="str">
        <f>IF(M243="","",IFERROR(VLOOKUP(M243,Parâmetros!$M$15:$O$17,2,TRUE),""))</f>
        <v/>
      </c>
      <c r="O243" s="18" t="str">
        <f>IF(N243="","",VLOOKUP(N243,Parâmetros!$N$15:$O$17,2,FALSE))</f>
        <v/>
      </c>
      <c r="P243" s="18" t="str">
        <f>IF(O243="","",O243*VLOOKUP(N243,Parâmetros!$N$15:$P$17,3,FALSE))</f>
        <v/>
      </c>
      <c r="Q243" s="18" t="str">
        <f>IF(O243="","",O243*VLOOKUP(N243,Parâmetros!$N$15:$Q$17,4,FALSE))</f>
        <v/>
      </c>
      <c r="R243" s="15"/>
    </row>
    <row r="244" spans="1:18">
      <c r="A244" s="15"/>
      <c r="B244" s="15"/>
      <c r="C244" s="15"/>
      <c r="D244" s="15"/>
      <c r="E244" s="15"/>
      <c r="F244" s="16" t="str">
        <f>IFERROR(VLOOKUP(E244,Parâmetros!$A$15:$B$18,2,FALSE),"")</f>
        <v/>
      </c>
      <c r="G244" s="16"/>
      <c r="H244" s="16" t="str">
        <f>IFERROR(VLOOKUP(G244,Parâmetros!$D$15:$E$18,2,FALSE),"")</f>
        <v/>
      </c>
      <c r="I244" s="16"/>
      <c r="J244" s="16" t="str">
        <f>IFERROR(VLOOKUP(I244,Parâmetros!$G$15:$H$18,2,FALSE),"")</f>
        <v/>
      </c>
      <c r="K244" s="16"/>
      <c r="L244" s="16" t="str">
        <f>IFERROR(VLOOKUP(K244,Parâmetros!$J$15:$K$18,2,FALSE),"")</f>
        <v/>
      </c>
      <c r="M244" s="17" t="str">
        <f>IF(COUNTA(E244,G244,I244,K244)&lt;4,"",F244*Parâmetros!$B$7+H244*Parâmetros!$B$8+J244*Parâmetros!$B$9+L244*Parâmetros!$B$10)</f>
        <v/>
      </c>
      <c r="N244" s="16" t="str">
        <f>IF(M244="","",IFERROR(VLOOKUP(M244,Parâmetros!$M$15:$O$17,2,TRUE),""))</f>
        <v/>
      </c>
      <c r="O244" s="18" t="str">
        <f>IF(N244="","",VLOOKUP(N244,Parâmetros!$N$15:$O$17,2,FALSE))</f>
        <v/>
      </c>
      <c r="P244" s="18" t="str">
        <f>IF(O244="","",O244*VLOOKUP(N244,Parâmetros!$N$15:$P$17,3,FALSE))</f>
        <v/>
      </c>
      <c r="Q244" s="18" t="str">
        <f>IF(O244="","",O244*VLOOKUP(N244,Parâmetros!$N$15:$Q$17,4,FALSE))</f>
        <v/>
      </c>
      <c r="R244" s="15"/>
    </row>
    <row r="245" spans="1:18">
      <c r="A245" s="15"/>
      <c r="B245" s="15"/>
      <c r="C245" s="15"/>
      <c r="D245" s="15"/>
      <c r="E245" s="15"/>
      <c r="F245" s="16" t="str">
        <f>IFERROR(VLOOKUP(E245,Parâmetros!$A$15:$B$18,2,FALSE),"")</f>
        <v/>
      </c>
      <c r="G245" s="16"/>
      <c r="H245" s="16" t="str">
        <f>IFERROR(VLOOKUP(G245,Parâmetros!$D$15:$E$18,2,FALSE),"")</f>
        <v/>
      </c>
      <c r="I245" s="16"/>
      <c r="J245" s="16" t="str">
        <f>IFERROR(VLOOKUP(I245,Parâmetros!$G$15:$H$18,2,FALSE),"")</f>
        <v/>
      </c>
      <c r="K245" s="16"/>
      <c r="L245" s="16" t="str">
        <f>IFERROR(VLOOKUP(K245,Parâmetros!$J$15:$K$18,2,FALSE),"")</f>
        <v/>
      </c>
      <c r="M245" s="17" t="str">
        <f>IF(COUNTA(E245,G245,I245,K245)&lt;4,"",F245*Parâmetros!$B$7+H245*Parâmetros!$B$8+J245*Parâmetros!$B$9+L245*Parâmetros!$B$10)</f>
        <v/>
      </c>
      <c r="N245" s="16" t="str">
        <f>IF(M245="","",IFERROR(VLOOKUP(M245,Parâmetros!$M$15:$O$17,2,TRUE),""))</f>
        <v/>
      </c>
      <c r="O245" s="18" t="str">
        <f>IF(N245="","",VLOOKUP(N245,Parâmetros!$N$15:$O$17,2,FALSE))</f>
        <v/>
      </c>
      <c r="P245" s="18" t="str">
        <f>IF(O245="","",O245*VLOOKUP(N245,Parâmetros!$N$15:$P$17,3,FALSE))</f>
        <v/>
      </c>
      <c r="Q245" s="18" t="str">
        <f>IF(O245="","",O245*VLOOKUP(N245,Parâmetros!$N$15:$Q$17,4,FALSE))</f>
        <v/>
      </c>
      <c r="R245" s="15"/>
    </row>
    <row r="246" spans="1:18">
      <c r="A246" s="15"/>
      <c r="B246" s="15"/>
      <c r="C246" s="15"/>
      <c r="D246" s="15"/>
      <c r="E246" s="15"/>
      <c r="F246" s="16" t="str">
        <f>IFERROR(VLOOKUP(E246,Parâmetros!$A$15:$B$18,2,FALSE),"")</f>
        <v/>
      </c>
      <c r="G246" s="16"/>
      <c r="H246" s="16" t="str">
        <f>IFERROR(VLOOKUP(G246,Parâmetros!$D$15:$E$18,2,FALSE),"")</f>
        <v/>
      </c>
      <c r="I246" s="16"/>
      <c r="J246" s="16" t="str">
        <f>IFERROR(VLOOKUP(I246,Parâmetros!$G$15:$H$18,2,FALSE),"")</f>
        <v/>
      </c>
      <c r="K246" s="16"/>
      <c r="L246" s="16" t="str">
        <f>IFERROR(VLOOKUP(K246,Parâmetros!$J$15:$K$18,2,FALSE),"")</f>
        <v/>
      </c>
      <c r="M246" s="17" t="str">
        <f>IF(COUNTA(E246,G246,I246,K246)&lt;4,"",F246*Parâmetros!$B$7+H246*Parâmetros!$B$8+J246*Parâmetros!$B$9+L246*Parâmetros!$B$10)</f>
        <v/>
      </c>
      <c r="N246" s="16" t="str">
        <f>IF(M246="","",IFERROR(VLOOKUP(M246,Parâmetros!$M$15:$O$17,2,TRUE),""))</f>
        <v/>
      </c>
      <c r="O246" s="18" t="str">
        <f>IF(N246="","",VLOOKUP(N246,Parâmetros!$N$15:$O$17,2,FALSE))</f>
        <v/>
      </c>
      <c r="P246" s="18" t="str">
        <f>IF(O246="","",O246*VLOOKUP(N246,Parâmetros!$N$15:$P$17,3,FALSE))</f>
        <v/>
      </c>
      <c r="Q246" s="18" t="str">
        <f>IF(O246="","",O246*VLOOKUP(N246,Parâmetros!$N$15:$Q$17,4,FALSE))</f>
        <v/>
      </c>
      <c r="R246" s="15"/>
    </row>
    <row r="247" spans="1:18">
      <c r="A247" s="15"/>
      <c r="B247" s="15"/>
      <c r="C247" s="15"/>
      <c r="D247" s="15"/>
      <c r="E247" s="15"/>
      <c r="F247" s="16" t="str">
        <f>IFERROR(VLOOKUP(E247,Parâmetros!$A$15:$B$18,2,FALSE),"")</f>
        <v/>
      </c>
      <c r="G247" s="16"/>
      <c r="H247" s="16" t="str">
        <f>IFERROR(VLOOKUP(G247,Parâmetros!$D$15:$E$18,2,FALSE),"")</f>
        <v/>
      </c>
      <c r="I247" s="16"/>
      <c r="J247" s="16" t="str">
        <f>IFERROR(VLOOKUP(I247,Parâmetros!$G$15:$H$18,2,FALSE),"")</f>
        <v/>
      </c>
      <c r="K247" s="16"/>
      <c r="L247" s="16" t="str">
        <f>IFERROR(VLOOKUP(K247,Parâmetros!$J$15:$K$18,2,FALSE),"")</f>
        <v/>
      </c>
      <c r="M247" s="17" t="str">
        <f>IF(COUNTA(E247,G247,I247,K247)&lt;4,"",F247*Parâmetros!$B$7+H247*Parâmetros!$B$8+J247*Parâmetros!$B$9+L247*Parâmetros!$B$10)</f>
        <v/>
      </c>
      <c r="N247" s="16" t="str">
        <f>IF(M247="","",IFERROR(VLOOKUP(M247,Parâmetros!$M$15:$O$17,2,TRUE),""))</f>
        <v/>
      </c>
      <c r="O247" s="18" t="str">
        <f>IF(N247="","",VLOOKUP(N247,Parâmetros!$N$15:$O$17,2,FALSE))</f>
        <v/>
      </c>
      <c r="P247" s="18" t="str">
        <f>IF(O247="","",O247*VLOOKUP(N247,Parâmetros!$N$15:$P$17,3,FALSE))</f>
        <v/>
      </c>
      <c r="Q247" s="18" t="str">
        <f>IF(O247="","",O247*VLOOKUP(N247,Parâmetros!$N$15:$Q$17,4,FALSE))</f>
        <v/>
      </c>
      <c r="R247" s="15"/>
    </row>
    <row r="248" spans="1:18">
      <c r="A248" s="15"/>
      <c r="B248" s="15"/>
      <c r="C248" s="15"/>
      <c r="D248" s="15"/>
      <c r="E248" s="15"/>
      <c r="F248" s="16" t="str">
        <f>IFERROR(VLOOKUP(E248,Parâmetros!$A$15:$B$18,2,FALSE),"")</f>
        <v/>
      </c>
      <c r="G248" s="16"/>
      <c r="H248" s="16" t="str">
        <f>IFERROR(VLOOKUP(G248,Parâmetros!$D$15:$E$18,2,FALSE),"")</f>
        <v/>
      </c>
      <c r="I248" s="16"/>
      <c r="J248" s="16" t="str">
        <f>IFERROR(VLOOKUP(I248,Parâmetros!$G$15:$H$18,2,FALSE),"")</f>
        <v/>
      </c>
      <c r="K248" s="16"/>
      <c r="L248" s="16" t="str">
        <f>IFERROR(VLOOKUP(K248,Parâmetros!$J$15:$K$18,2,FALSE),"")</f>
        <v/>
      </c>
      <c r="M248" s="17" t="str">
        <f>IF(COUNTA(E248,G248,I248,K248)&lt;4,"",F248*Parâmetros!$B$7+H248*Parâmetros!$B$8+J248*Parâmetros!$B$9+L248*Parâmetros!$B$10)</f>
        <v/>
      </c>
      <c r="N248" s="16" t="str">
        <f>IF(M248="","",IFERROR(VLOOKUP(M248,Parâmetros!$M$15:$O$17,2,TRUE),""))</f>
        <v/>
      </c>
      <c r="O248" s="18" t="str">
        <f>IF(N248="","",VLOOKUP(N248,Parâmetros!$N$15:$O$17,2,FALSE))</f>
        <v/>
      </c>
      <c r="P248" s="18" t="str">
        <f>IF(O248="","",O248*VLOOKUP(N248,Parâmetros!$N$15:$P$17,3,FALSE))</f>
        <v/>
      </c>
      <c r="Q248" s="18" t="str">
        <f>IF(O248="","",O248*VLOOKUP(N248,Parâmetros!$N$15:$Q$17,4,FALSE))</f>
        <v/>
      </c>
      <c r="R248" s="15"/>
    </row>
    <row r="249" spans="1:18">
      <c r="A249" s="15"/>
      <c r="B249" s="15"/>
      <c r="C249" s="15"/>
      <c r="D249" s="15"/>
      <c r="E249" s="15"/>
      <c r="F249" s="16" t="str">
        <f>IFERROR(VLOOKUP(E249,Parâmetros!$A$15:$B$18,2,FALSE),"")</f>
        <v/>
      </c>
      <c r="G249" s="16"/>
      <c r="H249" s="16" t="str">
        <f>IFERROR(VLOOKUP(G249,Parâmetros!$D$15:$E$18,2,FALSE),"")</f>
        <v/>
      </c>
      <c r="I249" s="16"/>
      <c r="J249" s="16" t="str">
        <f>IFERROR(VLOOKUP(I249,Parâmetros!$G$15:$H$18,2,FALSE),"")</f>
        <v/>
      </c>
      <c r="K249" s="16"/>
      <c r="L249" s="16" t="str">
        <f>IFERROR(VLOOKUP(K249,Parâmetros!$J$15:$K$18,2,FALSE),"")</f>
        <v/>
      </c>
      <c r="M249" s="17" t="str">
        <f>IF(COUNTA(E249,G249,I249,K249)&lt;4,"",F249*Parâmetros!$B$7+H249*Parâmetros!$B$8+J249*Parâmetros!$B$9+L249*Parâmetros!$B$10)</f>
        <v/>
      </c>
      <c r="N249" s="16" t="str">
        <f>IF(M249="","",IFERROR(VLOOKUP(M249,Parâmetros!$M$15:$O$17,2,TRUE),""))</f>
        <v/>
      </c>
      <c r="O249" s="18" t="str">
        <f>IF(N249="","",VLOOKUP(N249,Parâmetros!$N$15:$O$17,2,FALSE))</f>
        <v/>
      </c>
      <c r="P249" s="18" t="str">
        <f>IF(O249="","",O249*VLOOKUP(N249,Parâmetros!$N$15:$P$17,3,FALSE))</f>
        <v/>
      </c>
      <c r="Q249" s="18" t="str">
        <f>IF(O249="","",O249*VLOOKUP(N249,Parâmetros!$N$15:$Q$17,4,FALSE))</f>
        <v/>
      </c>
      <c r="R249" s="15"/>
    </row>
    <row r="250" spans="1:18">
      <c r="A250" s="15"/>
      <c r="B250" s="15"/>
      <c r="C250" s="15"/>
      <c r="D250" s="15"/>
      <c r="E250" s="15"/>
      <c r="F250" s="16" t="str">
        <f>IFERROR(VLOOKUP(E250,Parâmetros!$A$15:$B$18,2,FALSE),"")</f>
        <v/>
      </c>
      <c r="G250" s="16"/>
      <c r="H250" s="16" t="str">
        <f>IFERROR(VLOOKUP(G250,Parâmetros!$D$15:$E$18,2,FALSE),"")</f>
        <v/>
      </c>
      <c r="I250" s="16"/>
      <c r="J250" s="16" t="str">
        <f>IFERROR(VLOOKUP(I250,Parâmetros!$G$15:$H$18,2,FALSE),"")</f>
        <v/>
      </c>
      <c r="K250" s="16"/>
      <c r="L250" s="16" t="str">
        <f>IFERROR(VLOOKUP(K250,Parâmetros!$J$15:$K$18,2,FALSE),"")</f>
        <v/>
      </c>
      <c r="M250" s="17" t="str">
        <f>IF(COUNTA(E250,G250,I250,K250)&lt;4,"",F250*Parâmetros!$B$7+H250*Parâmetros!$B$8+J250*Parâmetros!$B$9+L250*Parâmetros!$B$10)</f>
        <v/>
      </c>
      <c r="N250" s="16" t="str">
        <f>IF(M250="","",IFERROR(VLOOKUP(M250,Parâmetros!$M$15:$O$17,2,TRUE),""))</f>
        <v/>
      </c>
      <c r="O250" s="18" t="str">
        <f>IF(N250="","",VLOOKUP(N250,Parâmetros!$N$15:$O$17,2,FALSE))</f>
        <v/>
      </c>
      <c r="P250" s="18" t="str">
        <f>IF(O250="","",O250*VLOOKUP(N250,Parâmetros!$N$15:$P$17,3,FALSE))</f>
        <v/>
      </c>
      <c r="Q250" s="18" t="str">
        <f>IF(O250="","",O250*VLOOKUP(N250,Parâmetros!$N$15:$Q$17,4,FALSE))</f>
        <v/>
      </c>
      <c r="R250" s="15"/>
    </row>
    <row r="251" spans="1:18">
      <c r="A251" s="15"/>
      <c r="B251" s="15"/>
      <c r="C251" s="15"/>
      <c r="D251" s="15"/>
      <c r="E251" s="15"/>
      <c r="F251" s="16" t="str">
        <f>IFERROR(VLOOKUP(E251,Parâmetros!$A$15:$B$18,2,FALSE),"")</f>
        <v/>
      </c>
      <c r="G251" s="16"/>
      <c r="H251" s="16" t="str">
        <f>IFERROR(VLOOKUP(G251,Parâmetros!$D$15:$E$18,2,FALSE),"")</f>
        <v/>
      </c>
      <c r="I251" s="16"/>
      <c r="J251" s="16" t="str">
        <f>IFERROR(VLOOKUP(I251,Parâmetros!$G$15:$H$18,2,FALSE),"")</f>
        <v/>
      </c>
      <c r="K251" s="16"/>
      <c r="L251" s="16" t="str">
        <f>IFERROR(VLOOKUP(K251,Parâmetros!$J$15:$K$18,2,FALSE),"")</f>
        <v/>
      </c>
      <c r="M251" s="17" t="str">
        <f>IF(COUNTA(E251,G251,I251,K251)&lt;4,"",F251*Parâmetros!$B$7+H251*Parâmetros!$B$8+J251*Parâmetros!$B$9+L251*Parâmetros!$B$10)</f>
        <v/>
      </c>
      <c r="N251" s="16" t="str">
        <f>IF(M251="","",IFERROR(VLOOKUP(M251,Parâmetros!$M$15:$O$17,2,TRUE),""))</f>
        <v/>
      </c>
      <c r="O251" s="18" t="str">
        <f>IF(N251="","",VLOOKUP(N251,Parâmetros!$N$15:$O$17,2,FALSE))</f>
        <v/>
      </c>
      <c r="P251" s="18" t="str">
        <f>IF(O251="","",O251*VLOOKUP(N251,Parâmetros!$N$15:$P$17,3,FALSE))</f>
        <v/>
      </c>
      <c r="Q251" s="18" t="str">
        <f>IF(O251="","",O251*VLOOKUP(N251,Parâmetros!$N$15:$Q$17,4,FALSE))</f>
        <v/>
      </c>
      <c r="R251" s="15"/>
    </row>
    <row r="252" spans="1:18">
      <c r="A252" s="15"/>
      <c r="B252" s="15"/>
      <c r="C252" s="15"/>
      <c r="D252" s="15"/>
      <c r="E252" s="15"/>
      <c r="F252" s="16" t="str">
        <f>IFERROR(VLOOKUP(E252,Parâmetros!$A$15:$B$18,2,FALSE),"")</f>
        <v/>
      </c>
      <c r="G252" s="16"/>
      <c r="H252" s="16" t="str">
        <f>IFERROR(VLOOKUP(G252,Parâmetros!$D$15:$E$18,2,FALSE),"")</f>
        <v/>
      </c>
      <c r="I252" s="16"/>
      <c r="J252" s="16" t="str">
        <f>IFERROR(VLOOKUP(I252,Parâmetros!$G$15:$H$18,2,FALSE),"")</f>
        <v/>
      </c>
      <c r="K252" s="16"/>
      <c r="L252" s="16" t="str">
        <f>IFERROR(VLOOKUP(K252,Parâmetros!$J$15:$K$18,2,FALSE),"")</f>
        <v/>
      </c>
      <c r="M252" s="17" t="str">
        <f>IF(COUNTA(E252,G252,I252,K252)&lt;4,"",F252*Parâmetros!$B$7+H252*Parâmetros!$B$8+J252*Parâmetros!$B$9+L252*Parâmetros!$B$10)</f>
        <v/>
      </c>
      <c r="N252" s="16" t="str">
        <f>IF(M252="","",IFERROR(VLOOKUP(M252,Parâmetros!$M$15:$O$17,2,TRUE),""))</f>
        <v/>
      </c>
      <c r="O252" s="18" t="str">
        <f>IF(N252="","",VLOOKUP(N252,Parâmetros!$N$15:$O$17,2,FALSE))</f>
        <v/>
      </c>
      <c r="P252" s="18" t="str">
        <f>IF(O252="","",O252*VLOOKUP(N252,Parâmetros!$N$15:$P$17,3,FALSE))</f>
        <v/>
      </c>
      <c r="Q252" s="18" t="str">
        <f>IF(O252="","",O252*VLOOKUP(N252,Parâmetros!$N$15:$Q$17,4,FALSE))</f>
        <v/>
      </c>
      <c r="R252" s="15"/>
    </row>
    <row r="253" spans="1:18">
      <c r="A253" s="15"/>
      <c r="B253" s="15"/>
      <c r="C253" s="15"/>
      <c r="D253" s="15"/>
      <c r="E253" s="15"/>
      <c r="F253" s="16" t="str">
        <f>IFERROR(VLOOKUP(E253,Parâmetros!$A$15:$B$18,2,FALSE),"")</f>
        <v/>
      </c>
      <c r="G253" s="16"/>
      <c r="H253" s="16" t="str">
        <f>IFERROR(VLOOKUP(G253,Parâmetros!$D$15:$E$18,2,FALSE),"")</f>
        <v/>
      </c>
      <c r="I253" s="16"/>
      <c r="J253" s="16" t="str">
        <f>IFERROR(VLOOKUP(I253,Parâmetros!$G$15:$H$18,2,FALSE),"")</f>
        <v/>
      </c>
      <c r="K253" s="16"/>
      <c r="L253" s="16" t="str">
        <f>IFERROR(VLOOKUP(K253,Parâmetros!$J$15:$K$18,2,FALSE),"")</f>
        <v/>
      </c>
      <c r="M253" s="17" t="str">
        <f>IF(COUNTA(E253,G253,I253,K253)&lt;4,"",F253*Parâmetros!$B$7+H253*Parâmetros!$B$8+J253*Parâmetros!$B$9+L253*Parâmetros!$B$10)</f>
        <v/>
      </c>
      <c r="N253" s="16" t="str">
        <f>IF(M253="","",IFERROR(VLOOKUP(M253,Parâmetros!$M$15:$O$17,2,TRUE),""))</f>
        <v/>
      </c>
      <c r="O253" s="18" t="str">
        <f>IF(N253="","",VLOOKUP(N253,Parâmetros!$N$15:$O$17,2,FALSE))</f>
        <v/>
      </c>
      <c r="P253" s="18" t="str">
        <f>IF(O253="","",O253*VLOOKUP(N253,Parâmetros!$N$15:$P$17,3,FALSE))</f>
        <v/>
      </c>
      <c r="Q253" s="18" t="str">
        <f>IF(O253="","",O253*VLOOKUP(N253,Parâmetros!$N$15:$Q$17,4,FALSE))</f>
        <v/>
      </c>
      <c r="R253" s="15"/>
    </row>
    <row r="254" spans="1:18">
      <c r="A254" s="15"/>
      <c r="B254" s="15"/>
      <c r="C254" s="15"/>
      <c r="D254" s="15"/>
      <c r="E254" s="15"/>
      <c r="F254" s="16" t="str">
        <f>IFERROR(VLOOKUP(E254,Parâmetros!$A$15:$B$18,2,FALSE),"")</f>
        <v/>
      </c>
      <c r="G254" s="16"/>
      <c r="H254" s="16" t="str">
        <f>IFERROR(VLOOKUP(G254,Parâmetros!$D$15:$E$18,2,FALSE),"")</f>
        <v/>
      </c>
      <c r="I254" s="16"/>
      <c r="J254" s="16" t="str">
        <f>IFERROR(VLOOKUP(I254,Parâmetros!$G$15:$H$18,2,FALSE),"")</f>
        <v/>
      </c>
      <c r="K254" s="16"/>
      <c r="L254" s="16" t="str">
        <f>IFERROR(VLOOKUP(K254,Parâmetros!$J$15:$K$18,2,FALSE),"")</f>
        <v/>
      </c>
      <c r="M254" s="17" t="str">
        <f>IF(COUNTA(E254,G254,I254,K254)&lt;4,"",F254*Parâmetros!$B$7+H254*Parâmetros!$B$8+J254*Parâmetros!$B$9+L254*Parâmetros!$B$10)</f>
        <v/>
      </c>
      <c r="N254" s="16" t="str">
        <f>IF(M254="","",IFERROR(VLOOKUP(M254,Parâmetros!$M$15:$O$17,2,TRUE),""))</f>
        <v/>
      </c>
      <c r="O254" s="18" t="str">
        <f>IF(N254="","",VLOOKUP(N254,Parâmetros!$N$15:$O$17,2,FALSE))</f>
        <v/>
      </c>
      <c r="P254" s="18" t="str">
        <f>IF(O254="","",O254*VLOOKUP(N254,Parâmetros!$N$15:$P$17,3,FALSE))</f>
        <v/>
      </c>
      <c r="Q254" s="18" t="str">
        <f>IF(O254="","",O254*VLOOKUP(N254,Parâmetros!$N$15:$Q$17,4,FALSE))</f>
        <v/>
      </c>
      <c r="R254" s="15"/>
    </row>
    <row r="255" spans="1:18">
      <c r="A255" s="15"/>
      <c r="B255" s="15"/>
      <c r="C255" s="15"/>
      <c r="D255" s="15"/>
      <c r="E255" s="15"/>
      <c r="F255" s="16" t="str">
        <f>IFERROR(VLOOKUP(E255,Parâmetros!$A$15:$B$18,2,FALSE),"")</f>
        <v/>
      </c>
      <c r="G255" s="16"/>
      <c r="H255" s="16" t="str">
        <f>IFERROR(VLOOKUP(G255,Parâmetros!$D$15:$E$18,2,FALSE),"")</f>
        <v/>
      </c>
      <c r="I255" s="16"/>
      <c r="J255" s="16" t="str">
        <f>IFERROR(VLOOKUP(I255,Parâmetros!$G$15:$H$18,2,FALSE),"")</f>
        <v/>
      </c>
      <c r="K255" s="16"/>
      <c r="L255" s="16" t="str">
        <f>IFERROR(VLOOKUP(K255,Parâmetros!$J$15:$K$18,2,FALSE),"")</f>
        <v/>
      </c>
      <c r="M255" s="17" t="str">
        <f>IF(COUNTA(E255,G255,I255,K255)&lt;4,"",F255*Parâmetros!$B$7+H255*Parâmetros!$B$8+J255*Parâmetros!$B$9+L255*Parâmetros!$B$10)</f>
        <v/>
      </c>
      <c r="N255" s="16" t="str">
        <f>IF(M255="","",IFERROR(VLOOKUP(M255,Parâmetros!$M$15:$O$17,2,TRUE),""))</f>
        <v/>
      </c>
      <c r="O255" s="18" t="str">
        <f>IF(N255="","",VLOOKUP(N255,Parâmetros!$N$15:$O$17,2,FALSE))</f>
        <v/>
      </c>
      <c r="P255" s="18" t="str">
        <f>IF(O255="","",O255*VLOOKUP(N255,Parâmetros!$N$15:$P$17,3,FALSE))</f>
        <v/>
      </c>
      <c r="Q255" s="18" t="str">
        <f>IF(O255="","",O255*VLOOKUP(N255,Parâmetros!$N$15:$Q$17,4,FALSE))</f>
        <v/>
      </c>
      <c r="R255" s="15"/>
    </row>
    <row r="256" spans="1:18">
      <c r="A256" s="15"/>
      <c r="B256" s="15"/>
      <c r="C256" s="15"/>
      <c r="D256" s="15"/>
      <c r="E256" s="15"/>
      <c r="F256" s="16" t="str">
        <f>IFERROR(VLOOKUP(E256,Parâmetros!$A$15:$B$18,2,FALSE),"")</f>
        <v/>
      </c>
      <c r="G256" s="16"/>
      <c r="H256" s="16" t="str">
        <f>IFERROR(VLOOKUP(G256,Parâmetros!$D$15:$E$18,2,FALSE),"")</f>
        <v/>
      </c>
      <c r="I256" s="16"/>
      <c r="J256" s="16" t="str">
        <f>IFERROR(VLOOKUP(I256,Parâmetros!$G$15:$H$18,2,FALSE),"")</f>
        <v/>
      </c>
      <c r="K256" s="16"/>
      <c r="L256" s="16" t="str">
        <f>IFERROR(VLOOKUP(K256,Parâmetros!$J$15:$K$18,2,FALSE),"")</f>
        <v/>
      </c>
      <c r="M256" s="17" t="str">
        <f>IF(COUNTA(E256,G256,I256,K256)&lt;4,"",F256*Parâmetros!$B$7+H256*Parâmetros!$B$8+J256*Parâmetros!$B$9+L256*Parâmetros!$B$10)</f>
        <v/>
      </c>
      <c r="N256" s="16" t="str">
        <f>IF(M256="","",IFERROR(VLOOKUP(M256,Parâmetros!$M$15:$O$17,2,TRUE),""))</f>
        <v/>
      </c>
      <c r="O256" s="18" t="str">
        <f>IF(N256="","",VLOOKUP(N256,Parâmetros!$N$15:$O$17,2,FALSE))</f>
        <v/>
      </c>
      <c r="P256" s="18" t="str">
        <f>IF(O256="","",O256*VLOOKUP(N256,Parâmetros!$N$15:$P$17,3,FALSE))</f>
        <v/>
      </c>
      <c r="Q256" s="18" t="str">
        <f>IF(O256="","",O256*VLOOKUP(N256,Parâmetros!$N$15:$Q$17,4,FALSE))</f>
        <v/>
      </c>
      <c r="R256" s="15"/>
    </row>
    <row r="257" spans="1:18">
      <c r="A257" s="15"/>
      <c r="B257" s="15"/>
      <c r="C257" s="15"/>
      <c r="D257" s="15"/>
      <c r="E257" s="15"/>
      <c r="F257" s="16" t="str">
        <f>IFERROR(VLOOKUP(E257,Parâmetros!$A$15:$B$18,2,FALSE),"")</f>
        <v/>
      </c>
      <c r="G257" s="16"/>
      <c r="H257" s="16" t="str">
        <f>IFERROR(VLOOKUP(G257,Parâmetros!$D$15:$E$18,2,FALSE),"")</f>
        <v/>
      </c>
      <c r="I257" s="16"/>
      <c r="J257" s="16" t="str">
        <f>IFERROR(VLOOKUP(I257,Parâmetros!$G$15:$H$18,2,FALSE),"")</f>
        <v/>
      </c>
      <c r="K257" s="16"/>
      <c r="L257" s="16" t="str">
        <f>IFERROR(VLOOKUP(K257,Parâmetros!$J$15:$K$18,2,FALSE),"")</f>
        <v/>
      </c>
      <c r="M257" s="17" t="str">
        <f>IF(COUNTA(E257,G257,I257,K257)&lt;4,"",F257*Parâmetros!$B$7+H257*Parâmetros!$B$8+J257*Parâmetros!$B$9+L257*Parâmetros!$B$10)</f>
        <v/>
      </c>
      <c r="N257" s="16" t="str">
        <f>IF(M257="","",IFERROR(VLOOKUP(M257,Parâmetros!$M$15:$O$17,2,TRUE),""))</f>
        <v/>
      </c>
      <c r="O257" s="18" t="str">
        <f>IF(N257="","",VLOOKUP(N257,Parâmetros!$N$15:$O$17,2,FALSE))</f>
        <v/>
      </c>
      <c r="P257" s="18" t="str">
        <f>IF(O257="","",O257*VLOOKUP(N257,Parâmetros!$N$15:$P$17,3,FALSE))</f>
        <v/>
      </c>
      <c r="Q257" s="18" t="str">
        <f>IF(O257="","",O257*VLOOKUP(N257,Parâmetros!$N$15:$Q$17,4,FALSE))</f>
        <v/>
      </c>
      <c r="R257" s="15"/>
    </row>
    <row r="258" spans="1:18">
      <c r="A258" s="15"/>
      <c r="B258" s="15"/>
      <c r="C258" s="15"/>
      <c r="D258" s="15"/>
      <c r="E258" s="15"/>
      <c r="F258" s="16" t="str">
        <f>IFERROR(VLOOKUP(E258,Parâmetros!$A$15:$B$18,2,FALSE),"")</f>
        <v/>
      </c>
      <c r="G258" s="16"/>
      <c r="H258" s="16" t="str">
        <f>IFERROR(VLOOKUP(G258,Parâmetros!$D$15:$E$18,2,FALSE),"")</f>
        <v/>
      </c>
      <c r="I258" s="16"/>
      <c r="J258" s="16" t="str">
        <f>IFERROR(VLOOKUP(I258,Parâmetros!$G$15:$H$18,2,FALSE),"")</f>
        <v/>
      </c>
      <c r="K258" s="16"/>
      <c r="L258" s="16" t="str">
        <f>IFERROR(VLOOKUP(K258,Parâmetros!$J$15:$K$18,2,FALSE),"")</f>
        <v/>
      </c>
      <c r="M258" s="17" t="str">
        <f>IF(COUNTA(E258,G258,I258,K258)&lt;4,"",F258*Parâmetros!$B$7+H258*Parâmetros!$B$8+J258*Parâmetros!$B$9+L258*Parâmetros!$B$10)</f>
        <v/>
      </c>
      <c r="N258" s="16" t="str">
        <f>IF(M258="","",IFERROR(VLOOKUP(M258,Parâmetros!$M$15:$O$17,2,TRUE),""))</f>
        <v/>
      </c>
      <c r="O258" s="18" t="str">
        <f>IF(N258="","",VLOOKUP(N258,Parâmetros!$N$15:$O$17,2,FALSE))</f>
        <v/>
      </c>
      <c r="P258" s="18" t="str">
        <f>IF(O258="","",O258*VLOOKUP(N258,Parâmetros!$N$15:$P$17,3,FALSE))</f>
        <v/>
      </c>
      <c r="Q258" s="18" t="str">
        <f>IF(O258="","",O258*VLOOKUP(N258,Parâmetros!$N$15:$Q$17,4,FALSE))</f>
        <v/>
      </c>
      <c r="R258" s="15"/>
    </row>
    <row r="259" spans="1:18">
      <c r="A259" s="15"/>
      <c r="B259" s="15"/>
      <c r="C259" s="15"/>
      <c r="D259" s="15"/>
      <c r="E259" s="15"/>
      <c r="F259" s="16" t="str">
        <f>IFERROR(VLOOKUP(E259,Parâmetros!$A$15:$B$18,2,FALSE),"")</f>
        <v/>
      </c>
      <c r="G259" s="16"/>
      <c r="H259" s="16" t="str">
        <f>IFERROR(VLOOKUP(G259,Parâmetros!$D$15:$E$18,2,FALSE),"")</f>
        <v/>
      </c>
      <c r="I259" s="16"/>
      <c r="J259" s="16" t="str">
        <f>IFERROR(VLOOKUP(I259,Parâmetros!$G$15:$H$18,2,FALSE),"")</f>
        <v/>
      </c>
      <c r="K259" s="16"/>
      <c r="L259" s="16" t="str">
        <f>IFERROR(VLOOKUP(K259,Parâmetros!$J$15:$K$18,2,FALSE),"")</f>
        <v/>
      </c>
      <c r="M259" s="17" t="str">
        <f>IF(COUNTA(E259,G259,I259,K259)&lt;4,"",F259*Parâmetros!$B$7+H259*Parâmetros!$B$8+J259*Parâmetros!$B$9+L259*Parâmetros!$B$10)</f>
        <v/>
      </c>
      <c r="N259" s="16" t="str">
        <f>IF(M259="","",IFERROR(VLOOKUP(M259,Parâmetros!$M$15:$O$17,2,TRUE),""))</f>
        <v/>
      </c>
      <c r="O259" s="18" t="str">
        <f>IF(N259="","",VLOOKUP(N259,Parâmetros!$N$15:$O$17,2,FALSE))</f>
        <v/>
      </c>
      <c r="P259" s="18" t="str">
        <f>IF(O259="","",O259*VLOOKUP(N259,Parâmetros!$N$15:$P$17,3,FALSE))</f>
        <v/>
      </c>
      <c r="Q259" s="18" t="str">
        <f>IF(O259="","",O259*VLOOKUP(N259,Parâmetros!$N$15:$Q$17,4,FALSE))</f>
        <v/>
      </c>
      <c r="R259" s="15"/>
    </row>
    <row r="260" spans="1:18">
      <c r="A260" s="15"/>
      <c r="B260" s="15"/>
      <c r="C260" s="15"/>
      <c r="D260" s="15"/>
      <c r="E260" s="15"/>
      <c r="F260" s="16" t="str">
        <f>IFERROR(VLOOKUP(E260,Parâmetros!$A$15:$B$18,2,FALSE),"")</f>
        <v/>
      </c>
      <c r="G260" s="16"/>
      <c r="H260" s="16" t="str">
        <f>IFERROR(VLOOKUP(G260,Parâmetros!$D$15:$E$18,2,FALSE),"")</f>
        <v/>
      </c>
      <c r="I260" s="16"/>
      <c r="J260" s="16" t="str">
        <f>IFERROR(VLOOKUP(I260,Parâmetros!$G$15:$H$18,2,FALSE),"")</f>
        <v/>
      </c>
      <c r="K260" s="16"/>
      <c r="L260" s="16" t="str">
        <f>IFERROR(VLOOKUP(K260,Parâmetros!$J$15:$K$18,2,FALSE),"")</f>
        <v/>
      </c>
      <c r="M260" s="17" t="str">
        <f>IF(COUNTA(E260,G260,I260,K260)&lt;4,"",F260*Parâmetros!$B$7+H260*Parâmetros!$B$8+J260*Parâmetros!$B$9+L260*Parâmetros!$B$10)</f>
        <v/>
      </c>
      <c r="N260" s="16" t="str">
        <f>IF(M260="","",IFERROR(VLOOKUP(M260,Parâmetros!$M$15:$O$17,2,TRUE),""))</f>
        <v/>
      </c>
      <c r="O260" s="18" t="str">
        <f>IF(N260="","",VLOOKUP(N260,Parâmetros!$N$15:$O$17,2,FALSE))</f>
        <v/>
      </c>
      <c r="P260" s="18" t="str">
        <f>IF(O260="","",O260*VLOOKUP(N260,Parâmetros!$N$15:$P$17,3,FALSE))</f>
        <v/>
      </c>
      <c r="Q260" s="18" t="str">
        <f>IF(O260="","",O260*VLOOKUP(N260,Parâmetros!$N$15:$Q$17,4,FALSE))</f>
        <v/>
      </c>
      <c r="R260" s="15"/>
    </row>
    <row r="261" spans="1:18">
      <c r="A261" s="15"/>
      <c r="B261" s="15"/>
      <c r="C261" s="15"/>
      <c r="D261" s="15"/>
      <c r="E261" s="15"/>
      <c r="F261" s="16" t="str">
        <f>IFERROR(VLOOKUP(E261,Parâmetros!$A$15:$B$18,2,FALSE),"")</f>
        <v/>
      </c>
      <c r="G261" s="16"/>
      <c r="H261" s="16" t="str">
        <f>IFERROR(VLOOKUP(G261,Parâmetros!$D$15:$E$18,2,FALSE),"")</f>
        <v/>
      </c>
      <c r="I261" s="16"/>
      <c r="J261" s="16" t="str">
        <f>IFERROR(VLOOKUP(I261,Parâmetros!$G$15:$H$18,2,FALSE),"")</f>
        <v/>
      </c>
      <c r="K261" s="16"/>
      <c r="L261" s="16" t="str">
        <f>IFERROR(VLOOKUP(K261,Parâmetros!$J$15:$K$18,2,FALSE),"")</f>
        <v/>
      </c>
      <c r="M261" s="17" t="str">
        <f>IF(COUNTA(E261,G261,I261,K261)&lt;4,"",F261*Parâmetros!$B$7+H261*Parâmetros!$B$8+J261*Parâmetros!$B$9+L261*Parâmetros!$B$10)</f>
        <v/>
      </c>
      <c r="N261" s="16" t="str">
        <f>IF(M261="","",IFERROR(VLOOKUP(M261,Parâmetros!$M$15:$O$17,2,TRUE),""))</f>
        <v/>
      </c>
      <c r="O261" s="18" t="str">
        <f>IF(N261="","",VLOOKUP(N261,Parâmetros!$N$15:$O$17,2,FALSE))</f>
        <v/>
      </c>
      <c r="P261" s="18" t="str">
        <f>IF(O261="","",O261*VLOOKUP(N261,Parâmetros!$N$15:$P$17,3,FALSE))</f>
        <v/>
      </c>
      <c r="Q261" s="18" t="str">
        <f>IF(O261="","",O261*VLOOKUP(N261,Parâmetros!$N$15:$Q$17,4,FALSE))</f>
        <v/>
      </c>
      <c r="R261" s="15"/>
    </row>
    <row r="262" spans="1:18">
      <c r="A262" s="15"/>
      <c r="B262" s="15"/>
      <c r="C262" s="15"/>
      <c r="D262" s="15"/>
      <c r="E262" s="15"/>
      <c r="F262" s="16" t="str">
        <f>IFERROR(VLOOKUP(E262,Parâmetros!$A$15:$B$18,2,FALSE),"")</f>
        <v/>
      </c>
      <c r="G262" s="16"/>
      <c r="H262" s="16" t="str">
        <f>IFERROR(VLOOKUP(G262,Parâmetros!$D$15:$E$18,2,FALSE),"")</f>
        <v/>
      </c>
      <c r="I262" s="16"/>
      <c r="J262" s="16" t="str">
        <f>IFERROR(VLOOKUP(I262,Parâmetros!$G$15:$H$18,2,FALSE),"")</f>
        <v/>
      </c>
      <c r="K262" s="16"/>
      <c r="L262" s="16" t="str">
        <f>IFERROR(VLOOKUP(K262,Parâmetros!$J$15:$K$18,2,FALSE),"")</f>
        <v/>
      </c>
      <c r="M262" s="17" t="str">
        <f>IF(COUNTA(E262,G262,I262,K262)&lt;4,"",F262*Parâmetros!$B$7+H262*Parâmetros!$B$8+J262*Parâmetros!$B$9+L262*Parâmetros!$B$10)</f>
        <v/>
      </c>
      <c r="N262" s="16" t="str">
        <f>IF(M262="","",IFERROR(VLOOKUP(M262,Parâmetros!$M$15:$O$17,2,TRUE),""))</f>
        <v/>
      </c>
      <c r="O262" s="18" t="str">
        <f>IF(N262="","",VLOOKUP(N262,Parâmetros!$N$15:$O$17,2,FALSE))</f>
        <v/>
      </c>
      <c r="P262" s="18" t="str">
        <f>IF(O262="","",O262*VLOOKUP(N262,Parâmetros!$N$15:$P$17,3,FALSE))</f>
        <v/>
      </c>
      <c r="Q262" s="18" t="str">
        <f>IF(O262="","",O262*VLOOKUP(N262,Parâmetros!$N$15:$Q$17,4,FALSE))</f>
        <v/>
      </c>
      <c r="R262" s="15"/>
    </row>
    <row r="263" spans="1:18">
      <c r="A263" s="15"/>
      <c r="B263" s="15"/>
      <c r="C263" s="15"/>
      <c r="D263" s="15"/>
      <c r="E263" s="15"/>
      <c r="F263" s="16" t="str">
        <f>IFERROR(VLOOKUP(E263,Parâmetros!$A$15:$B$18,2,FALSE),"")</f>
        <v/>
      </c>
      <c r="G263" s="16"/>
      <c r="H263" s="16" t="str">
        <f>IFERROR(VLOOKUP(G263,Parâmetros!$D$15:$E$18,2,FALSE),"")</f>
        <v/>
      </c>
      <c r="I263" s="16"/>
      <c r="J263" s="16" t="str">
        <f>IFERROR(VLOOKUP(I263,Parâmetros!$G$15:$H$18,2,FALSE),"")</f>
        <v/>
      </c>
      <c r="K263" s="16"/>
      <c r="L263" s="16" t="str">
        <f>IFERROR(VLOOKUP(K263,Parâmetros!$J$15:$K$18,2,FALSE),"")</f>
        <v/>
      </c>
      <c r="M263" s="17" t="str">
        <f>IF(COUNTA(E263,G263,I263,K263)&lt;4,"",F263*Parâmetros!$B$7+H263*Parâmetros!$B$8+J263*Parâmetros!$B$9+L263*Parâmetros!$B$10)</f>
        <v/>
      </c>
      <c r="N263" s="16" t="str">
        <f>IF(M263="","",IFERROR(VLOOKUP(M263,Parâmetros!$M$15:$O$17,2,TRUE),""))</f>
        <v/>
      </c>
      <c r="O263" s="18" t="str">
        <f>IF(N263="","",VLOOKUP(N263,Parâmetros!$N$15:$O$17,2,FALSE))</f>
        <v/>
      </c>
      <c r="P263" s="18" t="str">
        <f>IF(O263="","",O263*VLOOKUP(N263,Parâmetros!$N$15:$P$17,3,FALSE))</f>
        <v/>
      </c>
      <c r="Q263" s="18" t="str">
        <f>IF(O263="","",O263*VLOOKUP(N263,Parâmetros!$N$15:$Q$17,4,FALSE))</f>
        <v/>
      </c>
      <c r="R263" s="15"/>
    </row>
    <row r="264" spans="1:18">
      <c r="A264" s="15"/>
      <c r="B264" s="15"/>
      <c r="C264" s="15"/>
      <c r="D264" s="15"/>
      <c r="E264" s="15"/>
      <c r="F264" s="16" t="str">
        <f>IFERROR(VLOOKUP(E264,Parâmetros!$A$15:$B$18,2,FALSE),"")</f>
        <v/>
      </c>
      <c r="G264" s="16"/>
      <c r="H264" s="16" t="str">
        <f>IFERROR(VLOOKUP(G264,Parâmetros!$D$15:$E$18,2,FALSE),"")</f>
        <v/>
      </c>
      <c r="I264" s="16"/>
      <c r="J264" s="16" t="str">
        <f>IFERROR(VLOOKUP(I264,Parâmetros!$G$15:$H$18,2,FALSE),"")</f>
        <v/>
      </c>
      <c r="K264" s="16"/>
      <c r="L264" s="16" t="str">
        <f>IFERROR(VLOOKUP(K264,Parâmetros!$J$15:$K$18,2,FALSE),"")</f>
        <v/>
      </c>
      <c r="M264" s="17" t="str">
        <f>IF(COUNTA(E264,G264,I264,K264)&lt;4,"",F264*Parâmetros!$B$7+H264*Parâmetros!$B$8+J264*Parâmetros!$B$9+L264*Parâmetros!$B$10)</f>
        <v/>
      </c>
      <c r="N264" s="16" t="str">
        <f>IF(M264="","",IFERROR(VLOOKUP(M264,Parâmetros!$M$15:$O$17,2,TRUE),""))</f>
        <v/>
      </c>
      <c r="O264" s="18" t="str">
        <f>IF(N264="","",VLOOKUP(N264,Parâmetros!$N$15:$O$17,2,FALSE))</f>
        <v/>
      </c>
      <c r="P264" s="18" t="str">
        <f>IF(O264="","",O264*VLOOKUP(N264,Parâmetros!$N$15:$P$17,3,FALSE))</f>
        <v/>
      </c>
      <c r="Q264" s="18" t="str">
        <f>IF(O264="","",O264*VLOOKUP(N264,Parâmetros!$N$15:$Q$17,4,FALSE))</f>
        <v/>
      </c>
      <c r="R264" s="15"/>
    </row>
    <row r="265" spans="1:18">
      <c r="A265" s="15"/>
      <c r="B265" s="15"/>
      <c r="C265" s="15"/>
      <c r="D265" s="15"/>
      <c r="E265" s="15"/>
      <c r="F265" s="16" t="str">
        <f>IFERROR(VLOOKUP(E265,Parâmetros!$A$15:$B$18,2,FALSE),"")</f>
        <v/>
      </c>
      <c r="G265" s="16"/>
      <c r="H265" s="16" t="str">
        <f>IFERROR(VLOOKUP(G265,Parâmetros!$D$15:$E$18,2,FALSE),"")</f>
        <v/>
      </c>
      <c r="I265" s="16"/>
      <c r="J265" s="16" t="str">
        <f>IFERROR(VLOOKUP(I265,Parâmetros!$G$15:$H$18,2,FALSE),"")</f>
        <v/>
      </c>
      <c r="K265" s="16"/>
      <c r="L265" s="16" t="str">
        <f>IFERROR(VLOOKUP(K265,Parâmetros!$J$15:$K$18,2,FALSE),"")</f>
        <v/>
      </c>
      <c r="M265" s="17" t="str">
        <f>IF(COUNTA(E265,G265,I265,K265)&lt;4,"",F265*Parâmetros!$B$7+H265*Parâmetros!$B$8+J265*Parâmetros!$B$9+L265*Parâmetros!$B$10)</f>
        <v/>
      </c>
      <c r="N265" s="16" t="str">
        <f>IF(M265="","",IFERROR(VLOOKUP(M265,Parâmetros!$M$15:$O$17,2,TRUE),""))</f>
        <v/>
      </c>
      <c r="O265" s="18" t="str">
        <f>IF(N265="","",VLOOKUP(N265,Parâmetros!$N$15:$O$17,2,FALSE))</f>
        <v/>
      </c>
      <c r="P265" s="18" t="str">
        <f>IF(O265="","",O265*VLOOKUP(N265,Parâmetros!$N$15:$P$17,3,FALSE))</f>
        <v/>
      </c>
      <c r="Q265" s="18" t="str">
        <f>IF(O265="","",O265*VLOOKUP(N265,Parâmetros!$N$15:$Q$17,4,FALSE))</f>
        <v/>
      </c>
      <c r="R265" s="15"/>
    </row>
    <row r="266" spans="1:18">
      <c r="A266" s="15"/>
      <c r="B266" s="15"/>
      <c r="C266" s="15"/>
      <c r="D266" s="15"/>
      <c r="E266" s="15"/>
      <c r="F266" s="16" t="str">
        <f>IFERROR(VLOOKUP(E266,Parâmetros!$A$15:$B$18,2,FALSE),"")</f>
        <v/>
      </c>
      <c r="G266" s="16"/>
      <c r="H266" s="16" t="str">
        <f>IFERROR(VLOOKUP(G266,Parâmetros!$D$15:$E$18,2,FALSE),"")</f>
        <v/>
      </c>
      <c r="I266" s="16"/>
      <c r="J266" s="16" t="str">
        <f>IFERROR(VLOOKUP(I266,Parâmetros!$G$15:$H$18,2,FALSE),"")</f>
        <v/>
      </c>
      <c r="K266" s="16"/>
      <c r="L266" s="16" t="str">
        <f>IFERROR(VLOOKUP(K266,Parâmetros!$J$15:$K$18,2,FALSE),"")</f>
        <v/>
      </c>
      <c r="M266" s="17" t="str">
        <f>IF(COUNTA(E266,G266,I266,K266)&lt;4,"",F266*Parâmetros!$B$7+H266*Parâmetros!$B$8+J266*Parâmetros!$B$9+L266*Parâmetros!$B$10)</f>
        <v/>
      </c>
      <c r="N266" s="16" t="str">
        <f>IF(M266="","",IFERROR(VLOOKUP(M266,Parâmetros!$M$15:$O$17,2,TRUE),""))</f>
        <v/>
      </c>
      <c r="O266" s="18" t="str">
        <f>IF(N266="","",VLOOKUP(N266,Parâmetros!$N$15:$O$17,2,FALSE))</f>
        <v/>
      </c>
      <c r="P266" s="18" t="str">
        <f>IF(O266="","",O266*VLOOKUP(N266,Parâmetros!$N$15:$P$17,3,FALSE))</f>
        <v/>
      </c>
      <c r="Q266" s="18" t="str">
        <f>IF(O266="","",O266*VLOOKUP(N266,Parâmetros!$N$15:$Q$17,4,FALSE))</f>
        <v/>
      </c>
      <c r="R266" s="15"/>
    </row>
    <row r="267" spans="1:18">
      <c r="A267" s="15"/>
      <c r="B267" s="15"/>
      <c r="C267" s="15"/>
      <c r="D267" s="15"/>
      <c r="E267" s="15"/>
      <c r="F267" s="16" t="str">
        <f>IFERROR(VLOOKUP(E267,Parâmetros!$A$15:$B$18,2,FALSE),"")</f>
        <v/>
      </c>
      <c r="G267" s="16"/>
      <c r="H267" s="16" t="str">
        <f>IFERROR(VLOOKUP(G267,Parâmetros!$D$15:$E$18,2,FALSE),"")</f>
        <v/>
      </c>
      <c r="I267" s="16"/>
      <c r="J267" s="16" t="str">
        <f>IFERROR(VLOOKUP(I267,Parâmetros!$G$15:$H$18,2,FALSE),"")</f>
        <v/>
      </c>
      <c r="K267" s="16"/>
      <c r="L267" s="16" t="str">
        <f>IFERROR(VLOOKUP(K267,Parâmetros!$J$15:$K$18,2,FALSE),"")</f>
        <v/>
      </c>
      <c r="M267" s="17" t="str">
        <f>IF(COUNTA(E267,G267,I267,K267)&lt;4,"",F267*Parâmetros!$B$7+H267*Parâmetros!$B$8+J267*Parâmetros!$B$9+L267*Parâmetros!$B$10)</f>
        <v/>
      </c>
      <c r="N267" s="16" t="str">
        <f>IF(M267="","",IFERROR(VLOOKUP(M267,Parâmetros!$M$15:$O$17,2,TRUE),""))</f>
        <v/>
      </c>
      <c r="O267" s="18" t="str">
        <f>IF(N267="","",VLOOKUP(N267,Parâmetros!$N$15:$O$17,2,FALSE))</f>
        <v/>
      </c>
      <c r="P267" s="18" t="str">
        <f>IF(O267="","",O267*VLOOKUP(N267,Parâmetros!$N$15:$P$17,3,FALSE))</f>
        <v/>
      </c>
      <c r="Q267" s="18" t="str">
        <f>IF(O267="","",O267*VLOOKUP(N267,Parâmetros!$N$15:$Q$17,4,FALSE))</f>
        <v/>
      </c>
      <c r="R267" s="15"/>
    </row>
    <row r="268" spans="1:18">
      <c r="A268" s="15"/>
      <c r="B268" s="15"/>
      <c r="C268" s="15"/>
      <c r="D268" s="15"/>
      <c r="E268" s="15"/>
      <c r="F268" s="16" t="str">
        <f>IFERROR(VLOOKUP(E268,Parâmetros!$A$15:$B$18,2,FALSE),"")</f>
        <v/>
      </c>
      <c r="G268" s="16"/>
      <c r="H268" s="16" t="str">
        <f>IFERROR(VLOOKUP(G268,Parâmetros!$D$15:$E$18,2,FALSE),"")</f>
        <v/>
      </c>
      <c r="I268" s="16"/>
      <c r="J268" s="16" t="str">
        <f>IFERROR(VLOOKUP(I268,Parâmetros!$G$15:$H$18,2,FALSE),"")</f>
        <v/>
      </c>
      <c r="K268" s="16"/>
      <c r="L268" s="16" t="str">
        <f>IFERROR(VLOOKUP(K268,Parâmetros!$J$15:$K$18,2,FALSE),"")</f>
        <v/>
      </c>
      <c r="M268" s="17" t="str">
        <f>IF(COUNTA(E268,G268,I268,K268)&lt;4,"",F268*Parâmetros!$B$7+H268*Parâmetros!$B$8+J268*Parâmetros!$B$9+L268*Parâmetros!$B$10)</f>
        <v/>
      </c>
      <c r="N268" s="16" t="str">
        <f>IF(M268="","",IFERROR(VLOOKUP(M268,Parâmetros!$M$15:$O$17,2,TRUE),""))</f>
        <v/>
      </c>
      <c r="O268" s="18" t="str">
        <f>IF(N268="","",VLOOKUP(N268,Parâmetros!$N$15:$O$17,2,FALSE))</f>
        <v/>
      </c>
      <c r="P268" s="18" t="str">
        <f>IF(O268="","",O268*VLOOKUP(N268,Parâmetros!$N$15:$P$17,3,FALSE))</f>
        <v/>
      </c>
      <c r="Q268" s="18" t="str">
        <f>IF(O268="","",O268*VLOOKUP(N268,Parâmetros!$N$15:$Q$17,4,FALSE))</f>
        <v/>
      </c>
      <c r="R268" s="15"/>
    </row>
    <row r="269" spans="1:18">
      <c r="A269" s="15"/>
      <c r="B269" s="15"/>
      <c r="C269" s="15"/>
      <c r="D269" s="15"/>
      <c r="E269" s="15"/>
      <c r="F269" s="16" t="str">
        <f>IFERROR(VLOOKUP(E269,Parâmetros!$A$15:$B$18,2,FALSE),"")</f>
        <v/>
      </c>
      <c r="G269" s="16"/>
      <c r="H269" s="16" t="str">
        <f>IFERROR(VLOOKUP(G269,Parâmetros!$D$15:$E$18,2,FALSE),"")</f>
        <v/>
      </c>
      <c r="I269" s="16"/>
      <c r="J269" s="16" t="str">
        <f>IFERROR(VLOOKUP(I269,Parâmetros!$G$15:$H$18,2,FALSE),"")</f>
        <v/>
      </c>
      <c r="K269" s="16"/>
      <c r="L269" s="16" t="str">
        <f>IFERROR(VLOOKUP(K269,Parâmetros!$J$15:$K$18,2,FALSE),"")</f>
        <v/>
      </c>
      <c r="M269" s="17" t="str">
        <f>IF(COUNTA(E269,G269,I269,K269)&lt;4,"",F269*Parâmetros!$B$7+H269*Parâmetros!$B$8+J269*Parâmetros!$B$9+L269*Parâmetros!$B$10)</f>
        <v/>
      </c>
      <c r="N269" s="16" t="str">
        <f>IF(M269="","",IFERROR(VLOOKUP(M269,Parâmetros!$M$15:$O$17,2,TRUE),""))</f>
        <v/>
      </c>
      <c r="O269" s="18" t="str">
        <f>IF(N269="","",VLOOKUP(N269,Parâmetros!$N$15:$O$17,2,FALSE))</f>
        <v/>
      </c>
      <c r="P269" s="18" t="str">
        <f>IF(O269="","",O269*VLOOKUP(N269,Parâmetros!$N$15:$P$17,3,FALSE))</f>
        <v/>
      </c>
      <c r="Q269" s="18" t="str">
        <f>IF(O269="","",O269*VLOOKUP(N269,Parâmetros!$N$15:$Q$17,4,FALSE))</f>
        <v/>
      </c>
      <c r="R269" s="15"/>
    </row>
    <row r="270" spans="1:18">
      <c r="A270" s="15"/>
      <c r="B270" s="15"/>
      <c r="C270" s="15"/>
      <c r="D270" s="15"/>
      <c r="E270" s="15"/>
      <c r="F270" s="16" t="str">
        <f>IFERROR(VLOOKUP(E270,Parâmetros!$A$15:$B$18,2,FALSE),"")</f>
        <v/>
      </c>
      <c r="G270" s="16"/>
      <c r="H270" s="16" t="str">
        <f>IFERROR(VLOOKUP(G270,Parâmetros!$D$15:$E$18,2,FALSE),"")</f>
        <v/>
      </c>
      <c r="I270" s="16"/>
      <c r="J270" s="16" t="str">
        <f>IFERROR(VLOOKUP(I270,Parâmetros!$G$15:$H$18,2,FALSE),"")</f>
        <v/>
      </c>
      <c r="K270" s="16"/>
      <c r="L270" s="16" t="str">
        <f>IFERROR(VLOOKUP(K270,Parâmetros!$J$15:$K$18,2,FALSE),"")</f>
        <v/>
      </c>
      <c r="M270" s="17" t="str">
        <f>IF(COUNTA(E270,G270,I270,K270)&lt;4,"",F270*Parâmetros!$B$7+H270*Parâmetros!$B$8+J270*Parâmetros!$B$9+L270*Parâmetros!$B$10)</f>
        <v/>
      </c>
      <c r="N270" s="16" t="str">
        <f>IF(M270="","",IFERROR(VLOOKUP(M270,Parâmetros!$M$15:$O$17,2,TRUE),""))</f>
        <v/>
      </c>
      <c r="O270" s="18" t="str">
        <f>IF(N270="","",VLOOKUP(N270,Parâmetros!$N$15:$O$17,2,FALSE))</f>
        <v/>
      </c>
      <c r="P270" s="18" t="str">
        <f>IF(O270="","",O270*VLOOKUP(N270,Parâmetros!$N$15:$P$17,3,FALSE))</f>
        <v/>
      </c>
      <c r="Q270" s="18" t="str">
        <f>IF(O270="","",O270*VLOOKUP(N270,Parâmetros!$N$15:$Q$17,4,FALSE))</f>
        <v/>
      </c>
      <c r="R270" s="15"/>
    </row>
    <row r="271" spans="1:18">
      <c r="A271" s="15"/>
      <c r="B271" s="15"/>
      <c r="C271" s="15"/>
      <c r="D271" s="15"/>
      <c r="E271" s="15"/>
      <c r="F271" s="16" t="str">
        <f>IFERROR(VLOOKUP(E271,Parâmetros!$A$15:$B$18,2,FALSE),"")</f>
        <v/>
      </c>
      <c r="G271" s="16"/>
      <c r="H271" s="16" t="str">
        <f>IFERROR(VLOOKUP(G271,Parâmetros!$D$15:$E$18,2,FALSE),"")</f>
        <v/>
      </c>
      <c r="I271" s="16"/>
      <c r="J271" s="16" t="str">
        <f>IFERROR(VLOOKUP(I271,Parâmetros!$G$15:$H$18,2,FALSE),"")</f>
        <v/>
      </c>
      <c r="K271" s="16"/>
      <c r="L271" s="16" t="str">
        <f>IFERROR(VLOOKUP(K271,Parâmetros!$J$15:$K$18,2,FALSE),"")</f>
        <v/>
      </c>
      <c r="M271" s="17" t="str">
        <f>IF(COUNTA(E271,G271,I271,K271)&lt;4,"",F271*Parâmetros!$B$7+H271*Parâmetros!$B$8+J271*Parâmetros!$B$9+L271*Parâmetros!$B$10)</f>
        <v/>
      </c>
      <c r="N271" s="16" t="str">
        <f>IF(M271="","",IFERROR(VLOOKUP(M271,Parâmetros!$M$15:$O$17,2,TRUE),""))</f>
        <v/>
      </c>
      <c r="O271" s="18" t="str">
        <f>IF(N271="","",VLOOKUP(N271,Parâmetros!$N$15:$O$17,2,FALSE))</f>
        <v/>
      </c>
      <c r="P271" s="18" t="str">
        <f>IF(O271="","",O271*VLOOKUP(N271,Parâmetros!$N$15:$P$17,3,FALSE))</f>
        <v/>
      </c>
      <c r="Q271" s="18" t="str">
        <f>IF(O271="","",O271*VLOOKUP(N271,Parâmetros!$N$15:$Q$17,4,FALSE))</f>
        <v/>
      </c>
      <c r="R271" s="15"/>
    </row>
    <row r="272" spans="1:18">
      <c r="A272" s="15"/>
      <c r="B272" s="15"/>
      <c r="C272" s="15"/>
      <c r="D272" s="15"/>
      <c r="E272" s="15"/>
      <c r="F272" s="16" t="str">
        <f>IFERROR(VLOOKUP(E272,Parâmetros!$A$15:$B$18,2,FALSE),"")</f>
        <v/>
      </c>
      <c r="G272" s="16"/>
      <c r="H272" s="16" t="str">
        <f>IFERROR(VLOOKUP(G272,Parâmetros!$D$15:$E$18,2,FALSE),"")</f>
        <v/>
      </c>
      <c r="I272" s="16"/>
      <c r="J272" s="16" t="str">
        <f>IFERROR(VLOOKUP(I272,Parâmetros!$G$15:$H$18,2,FALSE),"")</f>
        <v/>
      </c>
      <c r="K272" s="16"/>
      <c r="L272" s="16" t="str">
        <f>IFERROR(VLOOKUP(K272,Parâmetros!$J$15:$K$18,2,FALSE),"")</f>
        <v/>
      </c>
      <c r="M272" s="17" t="str">
        <f>IF(COUNTA(E272,G272,I272,K272)&lt;4,"",F272*Parâmetros!$B$7+H272*Parâmetros!$B$8+J272*Parâmetros!$B$9+L272*Parâmetros!$B$10)</f>
        <v/>
      </c>
      <c r="N272" s="16" t="str">
        <f>IF(M272="","",IFERROR(VLOOKUP(M272,Parâmetros!$M$15:$O$17,2,TRUE),""))</f>
        <v/>
      </c>
      <c r="O272" s="18" t="str">
        <f>IF(N272="","",VLOOKUP(N272,Parâmetros!$N$15:$O$17,2,FALSE))</f>
        <v/>
      </c>
      <c r="P272" s="18" t="str">
        <f>IF(O272="","",O272*VLOOKUP(N272,Parâmetros!$N$15:$P$17,3,FALSE))</f>
        <v/>
      </c>
      <c r="Q272" s="18" t="str">
        <f>IF(O272="","",O272*VLOOKUP(N272,Parâmetros!$N$15:$Q$17,4,FALSE))</f>
        <v/>
      </c>
      <c r="R272" s="15"/>
    </row>
    <row r="273" spans="1:18">
      <c r="A273" s="15"/>
      <c r="B273" s="15"/>
      <c r="C273" s="15"/>
      <c r="D273" s="15"/>
      <c r="E273" s="15"/>
      <c r="F273" s="16" t="str">
        <f>IFERROR(VLOOKUP(E273,Parâmetros!$A$15:$B$18,2,FALSE),"")</f>
        <v/>
      </c>
      <c r="G273" s="16"/>
      <c r="H273" s="16" t="str">
        <f>IFERROR(VLOOKUP(G273,Parâmetros!$D$15:$E$18,2,FALSE),"")</f>
        <v/>
      </c>
      <c r="I273" s="16"/>
      <c r="J273" s="16" t="str">
        <f>IFERROR(VLOOKUP(I273,Parâmetros!$G$15:$H$18,2,FALSE),"")</f>
        <v/>
      </c>
      <c r="K273" s="16"/>
      <c r="L273" s="16" t="str">
        <f>IFERROR(VLOOKUP(K273,Parâmetros!$J$15:$K$18,2,FALSE),"")</f>
        <v/>
      </c>
      <c r="M273" s="17" t="str">
        <f>IF(COUNTA(E273,G273,I273,K273)&lt;4,"",F273*Parâmetros!$B$7+H273*Parâmetros!$B$8+J273*Parâmetros!$B$9+L273*Parâmetros!$B$10)</f>
        <v/>
      </c>
      <c r="N273" s="16" t="str">
        <f>IF(M273="","",IFERROR(VLOOKUP(M273,Parâmetros!$M$15:$O$17,2,TRUE),""))</f>
        <v/>
      </c>
      <c r="O273" s="18" t="str">
        <f>IF(N273="","",VLOOKUP(N273,Parâmetros!$N$15:$O$17,2,FALSE))</f>
        <v/>
      </c>
      <c r="P273" s="18" t="str">
        <f>IF(O273="","",O273*VLOOKUP(N273,Parâmetros!$N$15:$P$17,3,FALSE))</f>
        <v/>
      </c>
      <c r="Q273" s="18" t="str">
        <f>IF(O273="","",O273*VLOOKUP(N273,Parâmetros!$N$15:$Q$17,4,FALSE))</f>
        <v/>
      </c>
      <c r="R273" s="15"/>
    </row>
    <row r="274" spans="1:18">
      <c r="A274" s="15"/>
      <c r="B274" s="15"/>
      <c r="C274" s="15"/>
      <c r="D274" s="15"/>
      <c r="E274" s="15"/>
      <c r="F274" s="16" t="str">
        <f>IFERROR(VLOOKUP(E274,Parâmetros!$A$15:$B$18,2,FALSE),"")</f>
        <v/>
      </c>
      <c r="G274" s="16"/>
      <c r="H274" s="16" t="str">
        <f>IFERROR(VLOOKUP(G274,Parâmetros!$D$15:$E$18,2,FALSE),"")</f>
        <v/>
      </c>
      <c r="I274" s="16"/>
      <c r="J274" s="16" t="str">
        <f>IFERROR(VLOOKUP(I274,Parâmetros!$G$15:$H$18,2,FALSE),"")</f>
        <v/>
      </c>
      <c r="K274" s="16"/>
      <c r="L274" s="16" t="str">
        <f>IFERROR(VLOOKUP(K274,Parâmetros!$J$15:$K$18,2,FALSE),"")</f>
        <v/>
      </c>
      <c r="M274" s="17" t="str">
        <f>IF(COUNTA(E274,G274,I274,K274)&lt;4,"",F274*Parâmetros!$B$7+H274*Parâmetros!$B$8+J274*Parâmetros!$B$9+L274*Parâmetros!$B$10)</f>
        <v/>
      </c>
      <c r="N274" s="16" t="str">
        <f>IF(M274="","",IFERROR(VLOOKUP(M274,Parâmetros!$M$15:$O$17,2,TRUE),""))</f>
        <v/>
      </c>
      <c r="O274" s="18" t="str">
        <f>IF(N274="","",VLOOKUP(N274,Parâmetros!$N$15:$O$17,2,FALSE))</f>
        <v/>
      </c>
      <c r="P274" s="18" t="str">
        <f>IF(O274="","",O274*VLOOKUP(N274,Parâmetros!$N$15:$P$17,3,FALSE))</f>
        <v/>
      </c>
      <c r="Q274" s="18" t="str">
        <f>IF(O274="","",O274*VLOOKUP(N274,Parâmetros!$N$15:$Q$17,4,FALSE))</f>
        <v/>
      </c>
      <c r="R274" s="15"/>
    </row>
    <row r="275" spans="1:18">
      <c r="A275" s="15"/>
      <c r="B275" s="15"/>
      <c r="C275" s="15"/>
      <c r="D275" s="15"/>
      <c r="E275" s="15"/>
      <c r="F275" s="16" t="str">
        <f>IFERROR(VLOOKUP(E275,Parâmetros!$A$15:$B$18,2,FALSE),"")</f>
        <v/>
      </c>
      <c r="G275" s="16"/>
      <c r="H275" s="16" t="str">
        <f>IFERROR(VLOOKUP(G275,Parâmetros!$D$15:$E$18,2,FALSE),"")</f>
        <v/>
      </c>
      <c r="I275" s="16"/>
      <c r="J275" s="16" t="str">
        <f>IFERROR(VLOOKUP(I275,Parâmetros!$G$15:$H$18,2,FALSE),"")</f>
        <v/>
      </c>
      <c r="K275" s="16"/>
      <c r="L275" s="16" t="str">
        <f>IFERROR(VLOOKUP(K275,Parâmetros!$J$15:$K$18,2,FALSE),"")</f>
        <v/>
      </c>
      <c r="M275" s="17" t="str">
        <f>IF(COUNTA(E275,G275,I275,K275)&lt;4,"",F275*Parâmetros!$B$7+H275*Parâmetros!$B$8+J275*Parâmetros!$B$9+L275*Parâmetros!$B$10)</f>
        <v/>
      </c>
      <c r="N275" s="16" t="str">
        <f>IF(M275="","",IFERROR(VLOOKUP(M275,Parâmetros!$M$15:$O$17,2,TRUE),""))</f>
        <v/>
      </c>
      <c r="O275" s="18" t="str">
        <f>IF(N275="","",VLOOKUP(N275,Parâmetros!$N$15:$O$17,2,FALSE))</f>
        <v/>
      </c>
      <c r="P275" s="18" t="str">
        <f>IF(O275="","",O275*VLOOKUP(N275,Parâmetros!$N$15:$P$17,3,FALSE))</f>
        <v/>
      </c>
      <c r="Q275" s="18" t="str">
        <f>IF(O275="","",O275*VLOOKUP(N275,Parâmetros!$N$15:$Q$17,4,FALSE))</f>
        <v/>
      </c>
      <c r="R275" s="15"/>
    </row>
    <row r="276" spans="1:18">
      <c r="A276" s="15"/>
      <c r="B276" s="15"/>
      <c r="C276" s="15"/>
      <c r="D276" s="15"/>
      <c r="E276" s="15"/>
      <c r="F276" s="16" t="str">
        <f>IFERROR(VLOOKUP(E276,Parâmetros!$A$15:$B$18,2,FALSE),"")</f>
        <v/>
      </c>
      <c r="G276" s="16"/>
      <c r="H276" s="16" t="str">
        <f>IFERROR(VLOOKUP(G276,Parâmetros!$D$15:$E$18,2,FALSE),"")</f>
        <v/>
      </c>
      <c r="I276" s="16"/>
      <c r="J276" s="16" t="str">
        <f>IFERROR(VLOOKUP(I276,Parâmetros!$G$15:$H$18,2,FALSE),"")</f>
        <v/>
      </c>
      <c r="K276" s="16"/>
      <c r="L276" s="16" t="str">
        <f>IFERROR(VLOOKUP(K276,Parâmetros!$J$15:$K$18,2,FALSE),"")</f>
        <v/>
      </c>
      <c r="M276" s="17" t="str">
        <f>IF(COUNTA(E276,G276,I276,K276)&lt;4,"",F276*Parâmetros!$B$7+H276*Parâmetros!$B$8+J276*Parâmetros!$B$9+L276*Parâmetros!$B$10)</f>
        <v/>
      </c>
      <c r="N276" s="16" t="str">
        <f>IF(M276="","",IFERROR(VLOOKUP(M276,Parâmetros!$M$15:$O$17,2,TRUE),""))</f>
        <v/>
      </c>
      <c r="O276" s="18" t="str">
        <f>IF(N276="","",VLOOKUP(N276,Parâmetros!$N$15:$O$17,2,FALSE))</f>
        <v/>
      </c>
      <c r="P276" s="18" t="str">
        <f>IF(O276="","",O276*VLOOKUP(N276,Parâmetros!$N$15:$P$17,3,FALSE))</f>
        <v/>
      </c>
      <c r="Q276" s="18" t="str">
        <f>IF(O276="","",O276*VLOOKUP(N276,Parâmetros!$N$15:$Q$17,4,FALSE))</f>
        <v/>
      </c>
      <c r="R276" s="15"/>
    </row>
    <row r="277" spans="1:18">
      <c r="A277" s="15"/>
      <c r="B277" s="15"/>
      <c r="C277" s="15"/>
      <c r="D277" s="15"/>
      <c r="E277" s="15"/>
      <c r="F277" s="16" t="str">
        <f>IFERROR(VLOOKUP(E277,Parâmetros!$A$15:$B$18,2,FALSE),"")</f>
        <v/>
      </c>
      <c r="G277" s="16"/>
      <c r="H277" s="16" t="str">
        <f>IFERROR(VLOOKUP(G277,Parâmetros!$D$15:$E$18,2,FALSE),"")</f>
        <v/>
      </c>
      <c r="I277" s="16"/>
      <c r="J277" s="16" t="str">
        <f>IFERROR(VLOOKUP(I277,Parâmetros!$G$15:$H$18,2,FALSE),"")</f>
        <v/>
      </c>
      <c r="K277" s="16"/>
      <c r="L277" s="16" t="str">
        <f>IFERROR(VLOOKUP(K277,Parâmetros!$J$15:$K$18,2,FALSE),"")</f>
        <v/>
      </c>
      <c r="M277" s="17" t="str">
        <f>IF(COUNTA(E277,G277,I277,K277)&lt;4,"",F277*Parâmetros!$B$7+H277*Parâmetros!$B$8+J277*Parâmetros!$B$9+L277*Parâmetros!$B$10)</f>
        <v/>
      </c>
      <c r="N277" s="16" t="str">
        <f>IF(M277="","",IFERROR(VLOOKUP(M277,Parâmetros!$M$15:$O$17,2,TRUE),""))</f>
        <v/>
      </c>
      <c r="O277" s="18" t="str">
        <f>IF(N277="","",VLOOKUP(N277,Parâmetros!$N$15:$O$17,2,FALSE))</f>
        <v/>
      </c>
      <c r="P277" s="18" t="str">
        <f>IF(O277="","",O277*VLOOKUP(N277,Parâmetros!$N$15:$P$17,3,FALSE))</f>
        <v/>
      </c>
      <c r="Q277" s="18" t="str">
        <f>IF(O277="","",O277*VLOOKUP(N277,Parâmetros!$N$15:$Q$17,4,FALSE))</f>
        <v/>
      </c>
      <c r="R277" s="15"/>
    </row>
    <row r="278" spans="1:18">
      <c r="A278" s="15"/>
      <c r="B278" s="15"/>
      <c r="C278" s="15"/>
      <c r="D278" s="15"/>
      <c r="E278" s="15"/>
      <c r="F278" s="16" t="str">
        <f>IFERROR(VLOOKUP(E278,Parâmetros!$A$15:$B$18,2,FALSE),"")</f>
        <v/>
      </c>
      <c r="G278" s="16"/>
      <c r="H278" s="16" t="str">
        <f>IFERROR(VLOOKUP(G278,Parâmetros!$D$15:$E$18,2,FALSE),"")</f>
        <v/>
      </c>
      <c r="I278" s="16"/>
      <c r="J278" s="16" t="str">
        <f>IFERROR(VLOOKUP(I278,Parâmetros!$G$15:$H$18,2,FALSE),"")</f>
        <v/>
      </c>
      <c r="K278" s="16"/>
      <c r="L278" s="16" t="str">
        <f>IFERROR(VLOOKUP(K278,Parâmetros!$J$15:$K$18,2,FALSE),"")</f>
        <v/>
      </c>
      <c r="M278" s="17" t="str">
        <f>IF(COUNTA(E278,G278,I278,K278)&lt;4,"",F278*Parâmetros!$B$7+H278*Parâmetros!$B$8+J278*Parâmetros!$B$9+L278*Parâmetros!$B$10)</f>
        <v/>
      </c>
      <c r="N278" s="16" t="str">
        <f>IF(M278="","",IFERROR(VLOOKUP(M278,Parâmetros!$M$15:$O$17,2,TRUE),""))</f>
        <v/>
      </c>
      <c r="O278" s="18" t="str">
        <f>IF(N278="","",VLOOKUP(N278,Parâmetros!$N$15:$O$17,2,FALSE))</f>
        <v/>
      </c>
      <c r="P278" s="18" t="str">
        <f>IF(O278="","",O278*VLOOKUP(N278,Parâmetros!$N$15:$P$17,3,FALSE))</f>
        <v/>
      </c>
      <c r="Q278" s="18" t="str">
        <f>IF(O278="","",O278*VLOOKUP(N278,Parâmetros!$N$15:$Q$17,4,FALSE))</f>
        <v/>
      </c>
      <c r="R278" s="15"/>
    </row>
    <row r="279" spans="1:18">
      <c r="A279" s="15"/>
      <c r="B279" s="15"/>
      <c r="C279" s="15"/>
      <c r="D279" s="15"/>
      <c r="E279" s="15"/>
      <c r="F279" s="16" t="str">
        <f>IFERROR(VLOOKUP(E279,Parâmetros!$A$15:$B$18,2,FALSE),"")</f>
        <v/>
      </c>
      <c r="G279" s="16"/>
      <c r="H279" s="16" t="str">
        <f>IFERROR(VLOOKUP(G279,Parâmetros!$D$15:$E$18,2,FALSE),"")</f>
        <v/>
      </c>
      <c r="I279" s="16"/>
      <c r="J279" s="16" t="str">
        <f>IFERROR(VLOOKUP(I279,Parâmetros!$G$15:$H$18,2,FALSE),"")</f>
        <v/>
      </c>
      <c r="K279" s="16"/>
      <c r="L279" s="16" t="str">
        <f>IFERROR(VLOOKUP(K279,Parâmetros!$J$15:$K$18,2,FALSE),"")</f>
        <v/>
      </c>
      <c r="M279" s="17" t="str">
        <f>IF(COUNTA(E279,G279,I279,K279)&lt;4,"",F279*Parâmetros!$B$7+H279*Parâmetros!$B$8+J279*Parâmetros!$B$9+L279*Parâmetros!$B$10)</f>
        <v/>
      </c>
      <c r="N279" s="16" t="str">
        <f>IF(M279="","",IFERROR(VLOOKUP(M279,Parâmetros!$M$15:$O$17,2,TRUE),""))</f>
        <v/>
      </c>
      <c r="O279" s="18" t="str">
        <f>IF(N279="","",VLOOKUP(N279,Parâmetros!$N$15:$O$17,2,FALSE))</f>
        <v/>
      </c>
      <c r="P279" s="18" t="str">
        <f>IF(O279="","",O279*VLOOKUP(N279,Parâmetros!$N$15:$P$17,3,FALSE))</f>
        <v/>
      </c>
      <c r="Q279" s="18" t="str">
        <f>IF(O279="","",O279*VLOOKUP(N279,Parâmetros!$N$15:$Q$17,4,FALSE))</f>
        <v/>
      </c>
      <c r="R279" s="15"/>
    </row>
    <row r="280" spans="1:18">
      <c r="A280" s="15"/>
      <c r="B280" s="15"/>
      <c r="C280" s="15"/>
      <c r="D280" s="15"/>
      <c r="E280" s="15"/>
      <c r="F280" s="16" t="str">
        <f>IFERROR(VLOOKUP(E280,Parâmetros!$A$15:$B$18,2,FALSE),"")</f>
        <v/>
      </c>
      <c r="G280" s="16"/>
      <c r="H280" s="16" t="str">
        <f>IFERROR(VLOOKUP(G280,Parâmetros!$D$15:$E$18,2,FALSE),"")</f>
        <v/>
      </c>
      <c r="I280" s="16"/>
      <c r="J280" s="16" t="str">
        <f>IFERROR(VLOOKUP(I280,Parâmetros!$G$15:$H$18,2,FALSE),"")</f>
        <v/>
      </c>
      <c r="K280" s="16"/>
      <c r="L280" s="16" t="str">
        <f>IFERROR(VLOOKUP(K280,Parâmetros!$J$15:$K$18,2,FALSE),"")</f>
        <v/>
      </c>
      <c r="M280" s="17" t="str">
        <f>IF(COUNTA(E280,G280,I280,K280)&lt;4,"",F280*Parâmetros!$B$7+H280*Parâmetros!$B$8+J280*Parâmetros!$B$9+L280*Parâmetros!$B$10)</f>
        <v/>
      </c>
      <c r="N280" s="16" t="str">
        <f>IF(M280="","",IFERROR(VLOOKUP(M280,Parâmetros!$M$15:$O$17,2,TRUE),""))</f>
        <v/>
      </c>
      <c r="O280" s="18" t="str">
        <f>IF(N280="","",VLOOKUP(N280,Parâmetros!$N$15:$O$17,2,FALSE))</f>
        <v/>
      </c>
      <c r="P280" s="18" t="str">
        <f>IF(O280="","",O280*VLOOKUP(N280,Parâmetros!$N$15:$P$17,3,FALSE))</f>
        <v/>
      </c>
      <c r="Q280" s="18" t="str">
        <f>IF(O280="","",O280*VLOOKUP(N280,Parâmetros!$N$15:$Q$17,4,FALSE))</f>
        <v/>
      </c>
      <c r="R280" s="15"/>
    </row>
    <row r="281" spans="1:18">
      <c r="A281" s="15"/>
      <c r="B281" s="15"/>
      <c r="C281" s="15"/>
      <c r="D281" s="15"/>
      <c r="E281" s="15"/>
      <c r="F281" s="16" t="str">
        <f>IFERROR(VLOOKUP(E281,Parâmetros!$A$15:$B$18,2,FALSE),"")</f>
        <v/>
      </c>
      <c r="G281" s="16"/>
      <c r="H281" s="16" t="str">
        <f>IFERROR(VLOOKUP(G281,Parâmetros!$D$15:$E$18,2,FALSE),"")</f>
        <v/>
      </c>
      <c r="I281" s="16"/>
      <c r="J281" s="16" t="str">
        <f>IFERROR(VLOOKUP(I281,Parâmetros!$G$15:$H$18,2,FALSE),"")</f>
        <v/>
      </c>
      <c r="K281" s="16"/>
      <c r="L281" s="16" t="str">
        <f>IFERROR(VLOOKUP(K281,Parâmetros!$J$15:$K$18,2,FALSE),"")</f>
        <v/>
      </c>
      <c r="M281" s="17" t="str">
        <f>IF(COUNTA(E281,G281,I281,K281)&lt;4,"",F281*Parâmetros!$B$7+H281*Parâmetros!$B$8+J281*Parâmetros!$B$9+L281*Parâmetros!$B$10)</f>
        <v/>
      </c>
      <c r="N281" s="16" t="str">
        <f>IF(M281="","",IFERROR(VLOOKUP(M281,Parâmetros!$M$15:$O$17,2,TRUE),""))</f>
        <v/>
      </c>
      <c r="O281" s="18" t="str">
        <f>IF(N281="","",VLOOKUP(N281,Parâmetros!$N$15:$O$17,2,FALSE))</f>
        <v/>
      </c>
      <c r="P281" s="18" t="str">
        <f>IF(O281="","",O281*VLOOKUP(N281,Parâmetros!$N$15:$P$17,3,FALSE))</f>
        <v/>
      </c>
      <c r="Q281" s="18" t="str">
        <f>IF(O281="","",O281*VLOOKUP(N281,Parâmetros!$N$15:$Q$17,4,FALSE))</f>
        <v/>
      </c>
      <c r="R281" s="15"/>
    </row>
    <row r="282" spans="1:18">
      <c r="A282" s="15"/>
      <c r="B282" s="15"/>
      <c r="C282" s="15"/>
      <c r="D282" s="15"/>
      <c r="E282" s="15"/>
      <c r="F282" s="16" t="str">
        <f>IFERROR(VLOOKUP(E282,Parâmetros!$A$15:$B$18,2,FALSE),"")</f>
        <v/>
      </c>
      <c r="G282" s="16"/>
      <c r="H282" s="16" t="str">
        <f>IFERROR(VLOOKUP(G282,Parâmetros!$D$15:$E$18,2,FALSE),"")</f>
        <v/>
      </c>
      <c r="I282" s="16"/>
      <c r="J282" s="16" t="str">
        <f>IFERROR(VLOOKUP(I282,Parâmetros!$G$15:$H$18,2,FALSE),"")</f>
        <v/>
      </c>
      <c r="K282" s="16"/>
      <c r="L282" s="16" t="str">
        <f>IFERROR(VLOOKUP(K282,Parâmetros!$J$15:$K$18,2,FALSE),"")</f>
        <v/>
      </c>
      <c r="M282" s="17" t="str">
        <f>IF(COUNTA(E282,G282,I282,K282)&lt;4,"",F282*Parâmetros!$B$7+H282*Parâmetros!$B$8+J282*Parâmetros!$B$9+L282*Parâmetros!$B$10)</f>
        <v/>
      </c>
      <c r="N282" s="16" t="str">
        <f>IF(M282="","",IFERROR(VLOOKUP(M282,Parâmetros!$M$15:$O$17,2,TRUE),""))</f>
        <v/>
      </c>
      <c r="O282" s="18" t="str">
        <f>IF(N282="","",VLOOKUP(N282,Parâmetros!$N$15:$O$17,2,FALSE))</f>
        <v/>
      </c>
      <c r="P282" s="18" t="str">
        <f>IF(O282="","",O282*VLOOKUP(N282,Parâmetros!$N$15:$P$17,3,FALSE))</f>
        <v/>
      </c>
      <c r="Q282" s="18" t="str">
        <f>IF(O282="","",O282*VLOOKUP(N282,Parâmetros!$N$15:$Q$17,4,FALSE))</f>
        <v/>
      </c>
      <c r="R282" s="15"/>
    </row>
    <row r="283" spans="1:18">
      <c r="A283" s="15"/>
      <c r="B283" s="15"/>
      <c r="C283" s="15"/>
      <c r="D283" s="15"/>
      <c r="E283" s="15"/>
      <c r="F283" s="16" t="str">
        <f>IFERROR(VLOOKUP(E283,Parâmetros!$A$15:$B$18,2,FALSE),"")</f>
        <v/>
      </c>
      <c r="G283" s="16"/>
      <c r="H283" s="16" t="str">
        <f>IFERROR(VLOOKUP(G283,Parâmetros!$D$15:$E$18,2,FALSE),"")</f>
        <v/>
      </c>
      <c r="I283" s="16"/>
      <c r="J283" s="16" t="str">
        <f>IFERROR(VLOOKUP(I283,Parâmetros!$G$15:$H$18,2,FALSE),"")</f>
        <v/>
      </c>
      <c r="K283" s="16"/>
      <c r="L283" s="16" t="str">
        <f>IFERROR(VLOOKUP(K283,Parâmetros!$J$15:$K$18,2,FALSE),"")</f>
        <v/>
      </c>
      <c r="M283" s="17" t="str">
        <f>IF(COUNTA(E283,G283,I283,K283)&lt;4,"",F283*Parâmetros!$B$7+H283*Parâmetros!$B$8+J283*Parâmetros!$B$9+L283*Parâmetros!$B$10)</f>
        <v/>
      </c>
      <c r="N283" s="16" t="str">
        <f>IF(M283="","",IFERROR(VLOOKUP(M283,Parâmetros!$M$15:$O$17,2,TRUE),""))</f>
        <v/>
      </c>
      <c r="O283" s="18" t="str">
        <f>IF(N283="","",VLOOKUP(N283,Parâmetros!$N$15:$O$17,2,FALSE))</f>
        <v/>
      </c>
      <c r="P283" s="18" t="str">
        <f>IF(O283="","",O283*VLOOKUP(N283,Parâmetros!$N$15:$P$17,3,FALSE))</f>
        <v/>
      </c>
      <c r="Q283" s="18" t="str">
        <f>IF(O283="","",O283*VLOOKUP(N283,Parâmetros!$N$15:$Q$17,4,FALSE))</f>
        <v/>
      </c>
      <c r="R283" s="15"/>
    </row>
    <row r="284" spans="1:18">
      <c r="A284" s="15"/>
      <c r="B284" s="15"/>
      <c r="C284" s="15"/>
      <c r="D284" s="15"/>
      <c r="E284" s="15"/>
      <c r="F284" s="16" t="str">
        <f>IFERROR(VLOOKUP(E284,Parâmetros!$A$15:$B$18,2,FALSE),"")</f>
        <v/>
      </c>
      <c r="G284" s="16"/>
      <c r="H284" s="16" t="str">
        <f>IFERROR(VLOOKUP(G284,Parâmetros!$D$15:$E$18,2,FALSE),"")</f>
        <v/>
      </c>
      <c r="I284" s="16"/>
      <c r="J284" s="16" t="str">
        <f>IFERROR(VLOOKUP(I284,Parâmetros!$G$15:$H$18,2,FALSE),"")</f>
        <v/>
      </c>
      <c r="K284" s="16"/>
      <c r="L284" s="16" t="str">
        <f>IFERROR(VLOOKUP(K284,Parâmetros!$J$15:$K$18,2,FALSE),"")</f>
        <v/>
      </c>
      <c r="M284" s="17" t="str">
        <f>IF(COUNTA(E284,G284,I284,K284)&lt;4,"",F284*Parâmetros!$B$7+H284*Parâmetros!$B$8+J284*Parâmetros!$B$9+L284*Parâmetros!$B$10)</f>
        <v/>
      </c>
      <c r="N284" s="16" t="str">
        <f>IF(M284="","",IFERROR(VLOOKUP(M284,Parâmetros!$M$15:$O$17,2,TRUE),""))</f>
        <v/>
      </c>
      <c r="O284" s="18" t="str">
        <f>IF(N284="","",VLOOKUP(N284,Parâmetros!$N$15:$O$17,2,FALSE))</f>
        <v/>
      </c>
      <c r="P284" s="18" t="str">
        <f>IF(O284="","",O284*VLOOKUP(N284,Parâmetros!$N$15:$P$17,3,FALSE))</f>
        <v/>
      </c>
      <c r="Q284" s="18" t="str">
        <f>IF(O284="","",O284*VLOOKUP(N284,Parâmetros!$N$15:$Q$17,4,FALSE))</f>
        <v/>
      </c>
      <c r="R284" s="15"/>
    </row>
    <row r="285" spans="1:18">
      <c r="A285" s="15"/>
      <c r="B285" s="15"/>
      <c r="C285" s="15"/>
      <c r="D285" s="15"/>
      <c r="E285" s="15"/>
      <c r="F285" s="16" t="str">
        <f>IFERROR(VLOOKUP(E285,Parâmetros!$A$15:$B$18,2,FALSE),"")</f>
        <v/>
      </c>
      <c r="G285" s="16"/>
      <c r="H285" s="16" t="str">
        <f>IFERROR(VLOOKUP(G285,Parâmetros!$D$15:$E$18,2,FALSE),"")</f>
        <v/>
      </c>
      <c r="I285" s="16"/>
      <c r="J285" s="16" t="str">
        <f>IFERROR(VLOOKUP(I285,Parâmetros!$G$15:$H$18,2,FALSE),"")</f>
        <v/>
      </c>
      <c r="K285" s="16"/>
      <c r="L285" s="16" t="str">
        <f>IFERROR(VLOOKUP(K285,Parâmetros!$J$15:$K$18,2,FALSE),"")</f>
        <v/>
      </c>
      <c r="M285" s="17" t="str">
        <f>IF(COUNTA(E285,G285,I285,K285)&lt;4,"",F285*Parâmetros!$B$7+H285*Parâmetros!$B$8+J285*Parâmetros!$B$9+L285*Parâmetros!$B$10)</f>
        <v/>
      </c>
      <c r="N285" s="16" t="str">
        <f>IF(M285="","",IFERROR(VLOOKUP(M285,Parâmetros!$M$15:$O$17,2,TRUE),""))</f>
        <v/>
      </c>
      <c r="O285" s="18" t="str">
        <f>IF(N285="","",VLOOKUP(N285,Parâmetros!$N$15:$O$17,2,FALSE))</f>
        <v/>
      </c>
      <c r="P285" s="18" t="str">
        <f>IF(O285="","",O285*VLOOKUP(N285,Parâmetros!$N$15:$P$17,3,FALSE))</f>
        <v/>
      </c>
      <c r="Q285" s="18" t="str">
        <f>IF(O285="","",O285*VLOOKUP(N285,Parâmetros!$N$15:$Q$17,4,FALSE))</f>
        <v/>
      </c>
      <c r="R285" s="15"/>
    </row>
    <row r="286" spans="1:18">
      <c r="A286" s="15"/>
      <c r="B286" s="15"/>
      <c r="C286" s="15"/>
      <c r="D286" s="15"/>
      <c r="E286" s="15"/>
      <c r="F286" s="16" t="str">
        <f>IFERROR(VLOOKUP(E286,Parâmetros!$A$15:$B$18,2,FALSE),"")</f>
        <v/>
      </c>
      <c r="G286" s="16"/>
      <c r="H286" s="16" t="str">
        <f>IFERROR(VLOOKUP(G286,Parâmetros!$D$15:$E$18,2,FALSE),"")</f>
        <v/>
      </c>
      <c r="I286" s="16"/>
      <c r="J286" s="16" t="str">
        <f>IFERROR(VLOOKUP(I286,Parâmetros!$G$15:$H$18,2,FALSE),"")</f>
        <v/>
      </c>
      <c r="K286" s="16"/>
      <c r="L286" s="16" t="str">
        <f>IFERROR(VLOOKUP(K286,Parâmetros!$J$15:$K$18,2,FALSE),"")</f>
        <v/>
      </c>
      <c r="M286" s="17" t="str">
        <f>IF(COUNTA(E286,G286,I286,K286)&lt;4,"",F286*Parâmetros!$B$7+H286*Parâmetros!$B$8+J286*Parâmetros!$B$9+L286*Parâmetros!$B$10)</f>
        <v/>
      </c>
      <c r="N286" s="16" t="str">
        <f>IF(M286="","",IFERROR(VLOOKUP(M286,Parâmetros!$M$15:$O$17,2,TRUE),""))</f>
        <v/>
      </c>
      <c r="O286" s="18" t="str">
        <f>IF(N286="","",VLOOKUP(N286,Parâmetros!$N$15:$O$17,2,FALSE))</f>
        <v/>
      </c>
      <c r="P286" s="18" t="str">
        <f>IF(O286="","",O286*VLOOKUP(N286,Parâmetros!$N$15:$P$17,3,FALSE))</f>
        <v/>
      </c>
      <c r="Q286" s="18" t="str">
        <f>IF(O286="","",O286*VLOOKUP(N286,Parâmetros!$N$15:$Q$17,4,FALSE))</f>
        <v/>
      </c>
      <c r="R286" s="15"/>
    </row>
    <row r="287" spans="1:18">
      <c r="A287" s="15"/>
      <c r="B287" s="15"/>
      <c r="C287" s="15"/>
      <c r="D287" s="15"/>
      <c r="E287" s="15"/>
      <c r="F287" s="16" t="str">
        <f>IFERROR(VLOOKUP(E287,Parâmetros!$A$15:$B$18,2,FALSE),"")</f>
        <v/>
      </c>
      <c r="G287" s="16"/>
      <c r="H287" s="16" t="str">
        <f>IFERROR(VLOOKUP(G287,Parâmetros!$D$15:$E$18,2,FALSE),"")</f>
        <v/>
      </c>
      <c r="I287" s="16"/>
      <c r="J287" s="16" t="str">
        <f>IFERROR(VLOOKUP(I287,Parâmetros!$G$15:$H$18,2,FALSE),"")</f>
        <v/>
      </c>
      <c r="K287" s="16"/>
      <c r="L287" s="16" t="str">
        <f>IFERROR(VLOOKUP(K287,Parâmetros!$J$15:$K$18,2,FALSE),"")</f>
        <v/>
      </c>
      <c r="M287" s="17" t="str">
        <f>IF(COUNTA(E287,G287,I287,K287)&lt;4,"",F287*Parâmetros!$B$7+H287*Parâmetros!$B$8+J287*Parâmetros!$B$9+L287*Parâmetros!$B$10)</f>
        <v/>
      </c>
      <c r="N287" s="16" t="str">
        <f>IF(M287="","",IFERROR(VLOOKUP(M287,Parâmetros!$M$15:$O$17,2,TRUE),""))</f>
        <v/>
      </c>
      <c r="O287" s="18" t="str">
        <f>IF(N287="","",VLOOKUP(N287,Parâmetros!$N$15:$O$17,2,FALSE))</f>
        <v/>
      </c>
      <c r="P287" s="18" t="str">
        <f>IF(O287="","",O287*VLOOKUP(N287,Parâmetros!$N$15:$P$17,3,FALSE))</f>
        <v/>
      </c>
      <c r="Q287" s="18" t="str">
        <f>IF(O287="","",O287*VLOOKUP(N287,Parâmetros!$N$15:$Q$17,4,FALSE))</f>
        <v/>
      </c>
      <c r="R287" s="15"/>
    </row>
    <row r="288" spans="1:18">
      <c r="A288" s="15"/>
      <c r="B288" s="15"/>
      <c r="C288" s="15"/>
      <c r="D288" s="15"/>
      <c r="E288" s="15"/>
      <c r="F288" s="16" t="str">
        <f>IFERROR(VLOOKUP(E288,Parâmetros!$A$15:$B$18,2,FALSE),"")</f>
        <v/>
      </c>
      <c r="G288" s="16"/>
      <c r="H288" s="16" t="str">
        <f>IFERROR(VLOOKUP(G288,Parâmetros!$D$15:$E$18,2,FALSE),"")</f>
        <v/>
      </c>
      <c r="I288" s="16"/>
      <c r="J288" s="16" t="str">
        <f>IFERROR(VLOOKUP(I288,Parâmetros!$G$15:$H$18,2,FALSE),"")</f>
        <v/>
      </c>
      <c r="K288" s="16"/>
      <c r="L288" s="16" t="str">
        <f>IFERROR(VLOOKUP(K288,Parâmetros!$J$15:$K$18,2,FALSE),"")</f>
        <v/>
      </c>
      <c r="M288" s="17" t="str">
        <f>IF(COUNTA(E288,G288,I288,K288)&lt;4,"",F288*Parâmetros!$B$7+H288*Parâmetros!$B$8+J288*Parâmetros!$B$9+L288*Parâmetros!$B$10)</f>
        <v/>
      </c>
      <c r="N288" s="16" t="str">
        <f>IF(M288="","",IFERROR(VLOOKUP(M288,Parâmetros!$M$15:$O$17,2,TRUE),""))</f>
        <v/>
      </c>
      <c r="O288" s="18" t="str">
        <f>IF(N288="","",VLOOKUP(N288,Parâmetros!$N$15:$O$17,2,FALSE))</f>
        <v/>
      </c>
      <c r="P288" s="18" t="str">
        <f>IF(O288="","",O288*VLOOKUP(N288,Parâmetros!$N$15:$P$17,3,FALSE))</f>
        <v/>
      </c>
      <c r="Q288" s="18" t="str">
        <f>IF(O288="","",O288*VLOOKUP(N288,Parâmetros!$N$15:$Q$17,4,FALSE))</f>
        <v/>
      </c>
      <c r="R288" s="15"/>
    </row>
    <row r="289" spans="1:18">
      <c r="A289" s="15"/>
      <c r="B289" s="15"/>
      <c r="C289" s="15"/>
      <c r="D289" s="15"/>
      <c r="E289" s="15"/>
      <c r="F289" s="16" t="str">
        <f>IFERROR(VLOOKUP(E289,Parâmetros!$A$15:$B$18,2,FALSE),"")</f>
        <v/>
      </c>
      <c r="G289" s="16"/>
      <c r="H289" s="16" t="str">
        <f>IFERROR(VLOOKUP(G289,Parâmetros!$D$15:$E$18,2,FALSE),"")</f>
        <v/>
      </c>
      <c r="I289" s="16"/>
      <c r="J289" s="16" t="str">
        <f>IFERROR(VLOOKUP(I289,Parâmetros!$G$15:$H$18,2,FALSE),"")</f>
        <v/>
      </c>
      <c r="K289" s="16"/>
      <c r="L289" s="16" t="str">
        <f>IFERROR(VLOOKUP(K289,Parâmetros!$J$15:$K$18,2,FALSE),"")</f>
        <v/>
      </c>
      <c r="M289" s="17" t="str">
        <f>IF(COUNTA(E289,G289,I289,K289)&lt;4,"",F289*Parâmetros!$B$7+H289*Parâmetros!$B$8+J289*Parâmetros!$B$9+L289*Parâmetros!$B$10)</f>
        <v/>
      </c>
      <c r="N289" s="16" t="str">
        <f>IF(M289="","",IFERROR(VLOOKUP(M289,Parâmetros!$M$15:$O$17,2,TRUE),""))</f>
        <v/>
      </c>
      <c r="O289" s="18" t="str">
        <f>IF(N289="","",VLOOKUP(N289,Parâmetros!$N$15:$O$17,2,FALSE))</f>
        <v/>
      </c>
      <c r="P289" s="18" t="str">
        <f>IF(O289="","",O289*VLOOKUP(N289,Parâmetros!$N$15:$P$17,3,FALSE))</f>
        <v/>
      </c>
      <c r="Q289" s="18" t="str">
        <f>IF(O289="","",O289*VLOOKUP(N289,Parâmetros!$N$15:$Q$17,4,FALSE))</f>
        <v/>
      </c>
      <c r="R289" s="15"/>
    </row>
    <row r="290" spans="1:18">
      <c r="A290" s="15"/>
      <c r="B290" s="15"/>
      <c r="C290" s="15"/>
      <c r="D290" s="15"/>
      <c r="E290" s="15"/>
      <c r="F290" s="16" t="str">
        <f>IFERROR(VLOOKUP(E290,Parâmetros!$A$15:$B$18,2,FALSE),"")</f>
        <v/>
      </c>
      <c r="G290" s="16"/>
      <c r="H290" s="16" t="str">
        <f>IFERROR(VLOOKUP(G290,Parâmetros!$D$15:$E$18,2,FALSE),"")</f>
        <v/>
      </c>
      <c r="I290" s="16"/>
      <c r="J290" s="16" t="str">
        <f>IFERROR(VLOOKUP(I290,Parâmetros!$G$15:$H$18,2,FALSE),"")</f>
        <v/>
      </c>
      <c r="K290" s="16"/>
      <c r="L290" s="16" t="str">
        <f>IFERROR(VLOOKUP(K290,Parâmetros!$J$15:$K$18,2,FALSE),"")</f>
        <v/>
      </c>
      <c r="M290" s="17" t="str">
        <f>IF(COUNTA(E290,G290,I290,K290)&lt;4,"",F290*Parâmetros!$B$7+H290*Parâmetros!$B$8+J290*Parâmetros!$B$9+L290*Parâmetros!$B$10)</f>
        <v/>
      </c>
      <c r="N290" s="16" t="str">
        <f>IF(M290="","",IFERROR(VLOOKUP(M290,Parâmetros!$M$15:$O$17,2,TRUE),""))</f>
        <v/>
      </c>
      <c r="O290" s="18" t="str">
        <f>IF(N290="","",VLOOKUP(N290,Parâmetros!$N$15:$O$17,2,FALSE))</f>
        <v/>
      </c>
      <c r="P290" s="18" t="str">
        <f>IF(O290="","",O290*VLOOKUP(N290,Parâmetros!$N$15:$P$17,3,FALSE))</f>
        <v/>
      </c>
      <c r="Q290" s="18" t="str">
        <f>IF(O290="","",O290*VLOOKUP(N290,Parâmetros!$N$15:$Q$17,4,FALSE))</f>
        <v/>
      </c>
      <c r="R290" s="15"/>
    </row>
    <row r="291" spans="1:18">
      <c r="A291" s="15"/>
      <c r="B291" s="15"/>
      <c r="C291" s="15"/>
      <c r="D291" s="15"/>
      <c r="E291" s="15"/>
      <c r="F291" s="16" t="str">
        <f>IFERROR(VLOOKUP(E291,Parâmetros!$A$15:$B$18,2,FALSE),"")</f>
        <v/>
      </c>
      <c r="G291" s="16"/>
      <c r="H291" s="16" t="str">
        <f>IFERROR(VLOOKUP(G291,Parâmetros!$D$15:$E$18,2,FALSE),"")</f>
        <v/>
      </c>
      <c r="I291" s="16"/>
      <c r="J291" s="16" t="str">
        <f>IFERROR(VLOOKUP(I291,Parâmetros!$G$15:$H$18,2,FALSE),"")</f>
        <v/>
      </c>
      <c r="K291" s="16"/>
      <c r="L291" s="16" t="str">
        <f>IFERROR(VLOOKUP(K291,Parâmetros!$J$15:$K$18,2,FALSE),"")</f>
        <v/>
      </c>
      <c r="M291" s="17" t="str">
        <f>IF(COUNTA(E291,G291,I291,K291)&lt;4,"",F291*Parâmetros!$B$7+H291*Parâmetros!$B$8+J291*Parâmetros!$B$9+L291*Parâmetros!$B$10)</f>
        <v/>
      </c>
      <c r="N291" s="16" t="str">
        <f>IF(M291="","",IFERROR(VLOOKUP(M291,Parâmetros!$M$15:$O$17,2,TRUE),""))</f>
        <v/>
      </c>
      <c r="O291" s="18" t="str">
        <f>IF(N291="","",VLOOKUP(N291,Parâmetros!$N$15:$O$17,2,FALSE))</f>
        <v/>
      </c>
      <c r="P291" s="18" t="str">
        <f>IF(O291="","",O291*VLOOKUP(N291,Parâmetros!$N$15:$P$17,3,FALSE))</f>
        <v/>
      </c>
      <c r="Q291" s="18" t="str">
        <f>IF(O291="","",O291*VLOOKUP(N291,Parâmetros!$N$15:$Q$17,4,FALSE))</f>
        <v/>
      </c>
      <c r="R291" s="15"/>
    </row>
    <row r="292" spans="1:18">
      <c r="A292" s="15"/>
      <c r="B292" s="15"/>
      <c r="C292" s="15"/>
      <c r="D292" s="15"/>
      <c r="E292" s="15"/>
      <c r="F292" s="16" t="str">
        <f>IFERROR(VLOOKUP(E292,Parâmetros!$A$15:$B$18,2,FALSE),"")</f>
        <v/>
      </c>
      <c r="G292" s="16"/>
      <c r="H292" s="16" t="str">
        <f>IFERROR(VLOOKUP(G292,Parâmetros!$D$15:$E$18,2,FALSE),"")</f>
        <v/>
      </c>
      <c r="I292" s="16"/>
      <c r="J292" s="16" t="str">
        <f>IFERROR(VLOOKUP(I292,Parâmetros!$G$15:$H$18,2,FALSE),"")</f>
        <v/>
      </c>
      <c r="K292" s="16"/>
      <c r="L292" s="16" t="str">
        <f>IFERROR(VLOOKUP(K292,Parâmetros!$J$15:$K$18,2,FALSE),"")</f>
        <v/>
      </c>
      <c r="M292" s="17" t="str">
        <f>IF(COUNTA(E292,G292,I292,K292)&lt;4,"",F292*Parâmetros!$B$7+H292*Parâmetros!$B$8+J292*Parâmetros!$B$9+L292*Parâmetros!$B$10)</f>
        <v/>
      </c>
      <c r="N292" s="16" t="str">
        <f>IF(M292="","",IFERROR(VLOOKUP(M292,Parâmetros!$M$15:$O$17,2,TRUE),""))</f>
        <v/>
      </c>
      <c r="O292" s="18" t="str">
        <f>IF(N292="","",VLOOKUP(N292,Parâmetros!$N$15:$O$17,2,FALSE))</f>
        <v/>
      </c>
      <c r="P292" s="18" t="str">
        <f>IF(O292="","",O292*VLOOKUP(N292,Parâmetros!$N$15:$P$17,3,FALSE))</f>
        <v/>
      </c>
      <c r="Q292" s="18" t="str">
        <f>IF(O292="","",O292*VLOOKUP(N292,Parâmetros!$N$15:$Q$17,4,FALSE))</f>
        <v/>
      </c>
      <c r="R292" s="15"/>
    </row>
    <row r="293" spans="1:18">
      <c r="A293" s="15"/>
      <c r="B293" s="15"/>
      <c r="C293" s="15"/>
      <c r="D293" s="15"/>
      <c r="E293" s="15"/>
      <c r="F293" s="16" t="str">
        <f>IFERROR(VLOOKUP(E293,Parâmetros!$A$15:$B$18,2,FALSE),"")</f>
        <v/>
      </c>
      <c r="G293" s="16"/>
      <c r="H293" s="16" t="str">
        <f>IFERROR(VLOOKUP(G293,Parâmetros!$D$15:$E$18,2,FALSE),"")</f>
        <v/>
      </c>
      <c r="I293" s="16"/>
      <c r="J293" s="16" t="str">
        <f>IFERROR(VLOOKUP(I293,Parâmetros!$G$15:$H$18,2,FALSE),"")</f>
        <v/>
      </c>
      <c r="K293" s="16"/>
      <c r="L293" s="16" t="str">
        <f>IFERROR(VLOOKUP(K293,Parâmetros!$J$15:$K$18,2,FALSE),"")</f>
        <v/>
      </c>
      <c r="M293" s="17" t="str">
        <f>IF(COUNTA(E293,G293,I293,K293)&lt;4,"",F293*Parâmetros!$B$7+H293*Parâmetros!$B$8+J293*Parâmetros!$B$9+L293*Parâmetros!$B$10)</f>
        <v/>
      </c>
      <c r="N293" s="16" t="str">
        <f>IF(M293="","",IFERROR(VLOOKUP(M293,Parâmetros!$M$15:$O$17,2,TRUE),""))</f>
        <v/>
      </c>
      <c r="O293" s="18" t="str">
        <f>IF(N293="","",VLOOKUP(N293,Parâmetros!$N$15:$O$17,2,FALSE))</f>
        <v/>
      </c>
      <c r="P293" s="18" t="str">
        <f>IF(O293="","",O293*VLOOKUP(N293,Parâmetros!$N$15:$P$17,3,FALSE))</f>
        <v/>
      </c>
      <c r="Q293" s="18" t="str">
        <f>IF(O293="","",O293*VLOOKUP(N293,Parâmetros!$N$15:$Q$17,4,FALSE))</f>
        <v/>
      </c>
      <c r="R293" s="15"/>
    </row>
    <row r="294" spans="1:18">
      <c r="A294" s="15"/>
      <c r="B294" s="15"/>
      <c r="C294" s="15"/>
      <c r="D294" s="15"/>
      <c r="E294" s="15"/>
      <c r="F294" s="16" t="str">
        <f>IFERROR(VLOOKUP(E294,Parâmetros!$A$15:$B$18,2,FALSE),"")</f>
        <v/>
      </c>
      <c r="G294" s="16"/>
      <c r="H294" s="16" t="str">
        <f>IFERROR(VLOOKUP(G294,Parâmetros!$D$15:$E$18,2,FALSE),"")</f>
        <v/>
      </c>
      <c r="I294" s="16"/>
      <c r="J294" s="16" t="str">
        <f>IFERROR(VLOOKUP(I294,Parâmetros!$G$15:$H$18,2,FALSE),"")</f>
        <v/>
      </c>
      <c r="K294" s="16"/>
      <c r="L294" s="16" t="str">
        <f>IFERROR(VLOOKUP(K294,Parâmetros!$J$15:$K$18,2,FALSE),"")</f>
        <v/>
      </c>
      <c r="M294" s="17" t="str">
        <f>IF(COUNTA(E294,G294,I294,K294)&lt;4,"",F294*Parâmetros!$B$7+H294*Parâmetros!$B$8+J294*Parâmetros!$B$9+L294*Parâmetros!$B$10)</f>
        <v/>
      </c>
      <c r="N294" s="16" t="str">
        <f>IF(M294="","",IFERROR(VLOOKUP(M294,Parâmetros!$M$15:$O$17,2,TRUE),""))</f>
        <v/>
      </c>
      <c r="O294" s="18" t="str">
        <f>IF(N294="","",VLOOKUP(N294,Parâmetros!$N$15:$O$17,2,FALSE))</f>
        <v/>
      </c>
      <c r="P294" s="18" t="str">
        <f>IF(O294="","",O294*VLOOKUP(N294,Parâmetros!$N$15:$P$17,3,FALSE))</f>
        <v/>
      </c>
      <c r="Q294" s="18" t="str">
        <f>IF(O294="","",O294*VLOOKUP(N294,Parâmetros!$N$15:$Q$17,4,FALSE))</f>
        <v/>
      </c>
      <c r="R294" s="15"/>
    </row>
    <row r="295" spans="1:18">
      <c r="A295" s="15"/>
      <c r="B295" s="15"/>
      <c r="C295" s="15"/>
      <c r="D295" s="15"/>
      <c r="E295" s="15"/>
      <c r="F295" s="16" t="str">
        <f>IFERROR(VLOOKUP(E295,Parâmetros!$A$15:$B$18,2,FALSE),"")</f>
        <v/>
      </c>
      <c r="G295" s="16"/>
      <c r="H295" s="16" t="str">
        <f>IFERROR(VLOOKUP(G295,Parâmetros!$D$15:$E$18,2,FALSE),"")</f>
        <v/>
      </c>
      <c r="I295" s="16"/>
      <c r="J295" s="16" t="str">
        <f>IFERROR(VLOOKUP(I295,Parâmetros!$G$15:$H$18,2,FALSE),"")</f>
        <v/>
      </c>
      <c r="K295" s="16"/>
      <c r="L295" s="16" t="str">
        <f>IFERROR(VLOOKUP(K295,Parâmetros!$J$15:$K$18,2,FALSE),"")</f>
        <v/>
      </c>
      <c r="M295" s="17" t="str">
        <f>IF(COUNTA(E295,G295,I295,K295)&lt;4,"",F295*Parâmetros!$B$7+H295*Parâmetros!$B$8+J295*Parâmetros!$B$9+L295*Parâmetros!$B$10)</f>
        <v/>
      </c>
      <c r="N295" s="16" t="str">
        <f>IF(M295="","",IFERROR(VLOOKUP(M295,Parâmetros!$M$15:$O$17,2,TRUE),""))</f>
        <v/>
      </c>
      <c r="O295" s="18" t="str">
        <f>IF(N295="","",VLOOKUP(N295,Parâmetros!$N$15:$O$17,2,FALSE))</f>
        <v/>
      </c>
      <c r="P295" s="18" t="str">
        <f>IF(O295="","",O295*VLOOKUP(N295,Parâmetros!$N$15:$P$17,3,FALSE))</f>
        <v/>
      </c>
      <c r="Q295" s="18" t="str">
        <f>IF(O295="","",O295*VLOOKUP(N295,Parâmetros!$N$15:$Q$17,4,FALSE))</f>
        <v/>
      </c>
      <c r="R295" s="15"/>
    </row>
    <row r="296" spans="1:18">
      <c r="A296" s="15"/>
      <c r="B296" s="15"/>
      <c r="C296" s="15"/>
      <c r="D296" s="15"/>
      <c r="E296" s="15"/>
      <c r="F296" s="16" t="str">
        <f>IFERROR(VLOOKUP(E296,Parâmetros!$A$15:$B$18,2,FALSE),"")</f>
        <v/>
      </c>
      <c r="G296" s="16"/>
      <c r="H296" s="16" t="str">
        <f>IFERROR(VLOOKUP(G296,Parâmetros!$D$15:$E$18,2,FALSE),"")</f>
        <v/>
      </c>
      <c r="I296" s="16"/>
      <c r="J296" s="16" t="str">
        <f>IFERROR(VLOOKUP(I296,Parâmetros!$G$15:$H$18,2,FALSE),"")</f>
        <v/>
      </c>
      <c r="K296" s="16"/>
      <c r="L296" s="16" t="str">
        <f>IFERROR(VLOOKUP(K296,Parâmetros!$J$15:$K$18,2,FALSE),"")</f>
        <v/>
      </c>
      <c r="M296" s="17" t="str">
        <f>IF(COUNTA(E296,G296,I296,K296)&lt;4,"",F296*Parâmetros!$B$7+H296*Parâmetros!$B$8+J296*Parâmetros!$B$9+L296*Parâmetros!$B$10)</f>
        <v/>
      </c>
      <c r="N296" s="16" t="str">
        <f>IF(M296="","",IFERROR(VLOOKUP(M296,Parâmetros!$M$15:$O$17,2,TRUE),""))</f>
        <v/>
      </c>
      <c r="O296" s="18" t="str">
        <f>IF(N296="","",VLOOKUP(N296,Parâmetros!$N$15:$O$17,2,FALSE))</f>
        <v/>
      </c>
      <c r="P296" s="18" t="str">
        <f>IF(O296="","",O296*VLOOKUP(N296,Parâmetros!$N$15:$P$17,3,FALSE))</f>
        <v/>
      </c>
      <c r="Q296" s="18" t="str">
        <f>IF(O296="","",O296*VLOOKUP(N296,Parâmetros!$N$15:$Q$17,4,FALSE))</f>
        <v/>
      </c>
      <c r="R296" s="15"/>
    </row>
    <row r="297" spans="1:18">
      <c r="A297" s="15"/>
      <c r="B297" s="15"/>
      <c r="C297" s="15"/>
      <c r="D297" s="15"/>
      <c r="E297" s="15"/>
      <c r="F297" s="16" t="str">
        <f>IFERROR(VLOOKUP(E297,Parâmetros!$A$15:$B$18,2,FALSE),"")</f>
        <v/>
      </c>
      <c r="G297" s="16"/>
      <c r="H297" s="16" t="str">
        <f>IFERROR(VLOOKUP(G297,Parâmetros!$D$15:$E$18,2,FALSE),"")</f>
        <v/>
      </c>
      <c r="I297" s="16"/>
      <c r="J297" s="16" t="str">
        <f>IFERROR(VLOOKUP(I297,Parâmetros!$G$15:$H$18,2,FALSE),"")</f>
        <v/>
      </c>
      <c r="K297" s="16"/>
      <c r="L297" s="16" t="str">
        <f>IFERROR(VLOOKUP(K297,Parâmetros!$J$15:$K$18,2,FALSE),"")</f>
        <v/>
      </c>
      <c r="M297" s="17" t="str">
        <f>IF(COUNTA(E297,G297,I297,K297)&lt;4,"",F297*Parâmetros!$B$7+H297*Parâmetros!$B$8+J297*Parâmetros!$B$9+L297*Parâmetros!$B$10)</f>
        <v/>
      </c>
      <c r="N297" s="16" t="str">
        <f>IF(M297="","",IFERROR(VLOOKUP(M297,Parâmetros!$M$15:$O$17,2,TRUE),""))</f>
        <v/>
      </c>
      <c r="O297" s="18" t="str">
        <f>IF(N297="","",VLOOKUP(N297,Parâmetros!$N$15:$O$17,2,FALSE))</f>
        <v/>
      </c>
      <c r="P297" s="18" t="str">
        <f>IF(O297="","",O297*VLOOKUP(N297,Parâmetros!$N$15:$P$17,3,FALSE))</f>
        <v/>
      </c>
      <c r="Q297" s="18" t="str">
        <f>IF(O297="","",O297*VLOOKUP(N297,Parâmetros!$N$15:$Q$17,4,FALSE))</f>
        <v/>
      </c>
      <c r="R297" s="15"/>
    </row>
    <row r="298" spans="1:18">
      <c r="A298" s="15"/>
      <c r="B298" s="15"/>
      <c r="C298" s="15"/>
      <c r="D298" s="15"/>
      <c r="E298" s="15"/>
      <c r="F298" s="16" t="str">
        <f>IFERROR(VLOOKUP(E298,Parâmetros!$A$15:$B$18,2,FALSE),"")</f>
        <v/>
      </c>
      <c r="G298" s="16"/>
      <c r="H298" s="16" t="str">
        <f>IFERROR(VLOOKUP(G298,Parâmetros!$D$15:$E$18,2,FALSE),"")</f>
        <v/>
      </c>
      <c r="I298" s="16"/>
      <c r="J298" s="16" t="str">
        <f>IFERROR(VLOOKUP(I298,Parâmetros!$G$15:$H$18,2,FALSE),"")</f>
        <v/>
      </c>
      <c r="K298" s="16"/>
      <c r="L298" s="16" t="str">
        <f>IFERROR(VLOOKUP(K298,Parâmetros!$J$15:$K$18,2,FALSE),"")</f>
        <v/>
      </c>
      <c r="M298" s="17" t="str">
        <f>IF(COUNTA(E298,G298,I298,K298)&lt;4,"",F298*Parâmetros!$B$7+H298*Parâmetros!$B$8+J298*Parâmetros!$B$9+L298*Parâmetros!$B$10)</f>
        <v/>
      </c>
      <c r="N298" s="16" t="str">
        <f>IF(M298="","",IFERROR(VLOOKUP(M298,Parâmetros!$M$15:$O$17,2,TRUE),""))</f>
        <v/>
      </c>
      <c r="O298" s="18" t="str">
        <f>IF(N298="","",VLOOKUP(N298,Parâmetros!$N$15:$O$17,2,FALSE))</f>
        <v/>
      </c>
      <c r="P298" s="18" t="str">
        <f>IF(O298="","",O298*VLOOKUP(N298,Parâmetros!$N$15:$P$17,3,FALSE))</f>
        <v/>
      </c>
      <c r="Q298" s="18" t="str">
        <f>IF(O298="","",O298*VLOOKUP(N298,Parâmetros!$N$15:$Q$17,4,FALSE))</f>
        <v/>
      </c>
      <c r="R298" s="15"/>
    </row>
    <row r="299" spans="1:18">
      <c r="A299" s="15"/>
      <c r="B299" s="15"/>
      <c r="C299" s="15"/>
      <c r="D299" s="15"/>
      <c r="E299" s="15"/>
      <c r="F299" s="16" t="str">
        <f>IFERROR(VLOOKUP(E299,Parâmetros!$A$15:$B$18,2,FALSE),"")</f>
        <v/>
      </c>
      <c r="G299" s="16"/>
      <c r="H299" s="16" t="str">
        <f>IFERROR(VLOOKUP(G299,Parâmetros!$D$15:$E$18,2,FALSE),"")</f>
        <v/>
      </c>
      <c r="I299" s="16"/>
      <c r="J299" s="16" t="str">
        <f>IFERROR(VLOOKUP(I299,Parâmetros!$G$15:$H$18,2,FALSE),"")</f>
        <v/>
      </c>
      <c r="K299" s="16"/>
      <c r="L299" s="16" t="str">
        <f>IFERROR(VLOOKUP(K299,Parâmetros!$J$15:$K$18,2,FALSE),"")</f>
        <v/>
      </c>
      <c r="M299" s="17" t="str">
        <f>IF(COUNTA(E299,G299,I299,K299)&lt;4,"",F299*Parâmetros!$B$7+H299*Parâmetros!$B$8+J299*Parâmetros!$B$9+L299*Parâmetros!$B$10)</f>
        <v/>
      </c>
      <c r="N299" s="16" t="str">
        <f>IF(M299="","",IFERROR(VLOOKUP(M299,Parâmetros!$M$15:$O$17,2,TRUE),""))</f>
        <v/>
      </c>
      <c r="O299" s="18" t="str">
        <f>IF(N299="","",VLOOKUP(N299,Parâmetros!$N$15:$O$17,2,FALSE))</f>
        <v/>
      </c>
      <c r="P299" s="18" t="str">
        <f>IF(O299="","",O299*VLOOKUP(N299,Parâmetros!$N$15:$P$17,3,FALSE))</f>
        <v/>
      </c>
      <c r="Q299" s="18" t="str">
        <f>IF(O299="","",O299*VLOOKUP(N299,Parâmetros!$N$15:$Q$17,4,FALSE))</f>
        <v/>
      </c>
      <c r="R299" s="15"/>
    </row>
    <row r="300" spans="1:18">
      <c r="A300" s="15"/>
      <c r="B300" s="15"/>
      <c r="C300" s="15"/>
      <c r="D300" s="15"/>
      <c r="E300" s="15"/>
      <c r="F300" s="16" t="str">
        <f>IFERROR(VLOOKUP(E300,Parâmetros!$A$15:$B$18,2,FALSE),"")</f>
        <v/>
      </c>
      <c r="G300" s="16"/>
      <c r="H300" s="16" t="str">
        <f>IFERROR(VLOOKUP(G300,Parâmetros!$D$15:$E$18,2,FALSE),"")</f>
        <v/>
      </c>
      <c r="I300" s="16"/>
      <c r="J300" s="16" t="str">
        <f>IFERROR(VLOOKUP(I300,Parâmetros!$G$15:$H$18,2,FALSE),"")</f>
        <v/>
      </c>
      <c r="K300" s="16"/>
      <c r="L300" s="16" t="str">
        <f>IFERROR(VLOOKUP(K300,Parâmetros!$J$15:$K$18,2,FALSE),"")</f>
        <v/>
      </c>
      <c r="M300" s="17" t="str">
        <f>IF(COUNTA(E300,G300,I300,K300)&lt;4,"",F300*Parâmetros!$B$7+H300*Parâmetros!$B$8+J300*Parâmetros!$B$9+L300*Parâmetros!$B$10)</f>
        <v/>
      </c>
      <c r="N300" s="16" t="str">
        <f>IF(M300="","",IFERROR(VLOOKUP(M300,Parâmetros!$M$15:$O$17,2,TRUE),""))</f>
        <v/>
      </c>
      <c r="O300" s="18" t="str">
        <f>IF(N300="","",VLOOKUP(N300,Parâmetros!$N$15:$O$17,2,FALSE))</f>
        <v/>
      </c>
      <c r="P300" s="18" t="str">
        <f>IF(O300="","",O300*VLOOKUP(N300,Parâmetros!$N$15:$P$17,3,FALSE))</f>
        <v/>
      </c>
      <c r="Q300" s="18" t="str">
        <f>IF(O300="","",O300*VLOOKUP(N300,Parâmetros!$N$15:$Q$17,4,FALSE))</f>
        <v/>
      </c>
      <c r="R300" s="15"/>
    </row>
    <row r="301" spans="1:18">
      <c r="A301" s="15"/>
      <c r="B301" s="15"/>
      <c r="C301" s="15"/>
      <c r="D301" s="15"/>
      <c r="E301" s="15"/>
      <c r="F301" s="16" t="str">
        <f>IFERROR(VLOOKUP(E301,Parâmetros!$A$15:$B$18,2,FALSE),"")</f>
        <v/>
      </c>
      <c r="G301" s="16"/>
      <c r="H301" s="16" t="str">
        <f>IFERROR(VLOOKUP(G301,Parâmetros!$D$15:$E$18,2,FALSE),"")</f>
        <v/>
      </c>
      <c r="I301" s="16"/>
      <c r="J301" s="16" t="str">
        <f>IFERROR(VLOOKUP(I301,Parâmetros!$G$15:$H$18,2,FALSE),"")</f>
        <v/>
      </c>
      <c r="K301" s="16"/>
      <c r="L301" s="16" t="str">
        <f>IFERROR(VLOOKUP(K301,Parâmetros!$J$15:$K$18,2,FALSE),"")</f>
        <v/>
      </c>
      <c r="M301" s="17" t="str">
        <f>IF(COUNTA(E301,G301,I301,K301)&lt;4,"",F301*Parâmetros!$B$7+H301*Parâmetros!$B$8+J301*Parâmetros!$B$9+L301*Parâmetros!$B$10)</f>
        <v/>
      </c>
      <c r="N301" s="16" t="str">
        <f>IF(M301="","",IFERROR(VLOOKUP(M301,Parâmetros!$M$15:$O$17,2,TRUE),""))</f>
        <v/>
      </c>
      <c r="O301" s="18" t="str">
        <f>IF(N301="","",VLOOKUP(N301,Parâmetros!$N$15:$O$17,2,FALSE))</f>
        <v/>
      </c>
      <c r="P301" s="18" t="str">
        <f>IF(O301="","",O301*VLOOKUP(N301,Parâmetros!$N$15:$P$17,3,FALSE))</f>
        <v/>
      </c>
      <c r="Q301" s="18" t="str">
        <f>IF(O301="","",O301*VLOOKUP(N301,Parâmetros!$N$15:$Q$17,4,FALSE))</f>
        <v/>
      </c>
      <c r="R301" s="15"/>
    </row>
    <row r="302" spans="1:18">
      <c r="A302" s="15"/>
      <c r="B302" s="15"/>
      <c r="C302" s="15"/>
      <c r="D302" s="15"/>
      <c r="E302" s="15"/>
      <c r="F302" s="16" t="str">
        <f>IFERROR(VLOOKUP(E302,Parâmetros!$A$15:$B$18,2,FALSE),"")</f>
        <v/>
      </c>
      <c r="G302" s="16"/>
      <c r="H302" s="16" t="str">
        <f>IFERROR(VLOOKUP(G302,Parâmetros!$D$15:$E$18,2,FALSE),"")</f>
        <v/>
      </c>
      <c r="I302" s="16"/>
      <c r="J302" s="16" t="str">
        <f>IFERROR(VLOOKUP(I302,Parâmetros!$G$15:$H$18,2,FALSE),"")</f>
        <v/>
      </c>
      <c r="K302" s="16"/>
      <c r="L302" s="16" t="str">
        <f>IFERROR(VLOOKUP(K302,Parâmetros!$J$15:$K$18,2,FALSE),"")</f>
        <v/>
      </c>
      <c r="M302" s="17" t="str">
        <f>IF(COUNTA(E302,G302,I302,K302)&lt;4,"",F302*Parâmetros!$B$7+H302*Parâmetros!$B$8+J302*Parâmetros!$B$9+L302*Parâmetros!$B$10)</f>
        <v/>
      </c>
      <c r="N302" s="16" t="str">
        <f>IF(M302="","",IFERROR(VLOOKUP(M302,Parâmetros!$M$15:$O$17,2,TRUE),""))</f>
        <v/>
      </c>
      <c r="O302" s="18" t="str">
        <f>IF(N302="","",VLOOKUP(N302,Parâmetros!$N$15:$O$17,2,FALSE))</f>
        <v/>
      </c>
      <c r="P302" s="18" t="str">
        <f>IF(O302="","",O302*VLOOKUP(N302,Parâmetros!$N$15:$P$17,3,FALSE))</f>
        <v/>
      </c>
      <c r="Q302" s="18" t="str">
        <f>IF(O302="","",O302*VLOOKUP(N302,Parâmetros!$N$15:$Q$17,4,FALSE))</f>
        <v/>
      </c>
      <c r="R302" s="15"/>
    </row>
    <row r="303" spans="1:18">
      <c r="A303" s="15"/>
      <c r="B303" s="15"/>
      <c r="C303" s="15"/>
      <c r="D303" s="15"/>
      <c r="E303" s="15"/>
      <c r="F303" s="16" t="str">
        <f>IFERROR(VLOOKUP(E303,Parâmetros!$A$15:$B$18,2,FALSE),"")</f>
        <v/>
      </c>
      <c r="G303" s="16"/>
      <c r="H303" s="16" t="str">
        <f>IFERROR(VLOOKUP(G303,Parâmetros!$D$15:$E$18,2,FALSE),"")</f>
        <v/>
      </c>
      <c r="I303" s="16"/>
      <c r="J303" s="16" t="str">
        <f>IFERROR(VLOOKUP(I303,Parâmetros!$G$15:$H$18,2,FALSE),"")</f>
        <v/>
      </c>
      <c r="K303" s="16"/>
      <c r="L303" s="16" t="str">
        <f>IFERROR(VLOOKUP(K303,Parâmetros!$J$15:$K$18,2,FALSE),"")</f>
        <v/>
      </c>
      <c r="M303" s="17" t="str">
        <f>IF(COUNTA(E303,G303,I303,K303)&lt;4,"",F303*Parâmetros!$B$7+H303*Parâmetros!$B$8+J303*Parâmetros!$B$9+L303*Parâmetros!$B$10)</f>
        <v/>
      </c>
      <c r="N303" s="16" t="str">
        <f>IF(M303="","",IFERROR(VLOOKUP(M303,Parâmetros!$M$15:$O$17,2,TRUE),""))</f>
        <v/>
      </c>
      <c r="O303" s="18" t="str">
        <f>IF(N303="","",VLOOKUP(N303,Parâmetros!$N$15:$O$17,2,FALSE))</f>
        <v/>
      </c>
      <c r="P303" s="18" t="str">
        <f>IF(O303="","",O303*VLOOKUP(N303,Parâmetros!$N$15:$P$17,3,FALSE))</f>
        <v/>
      </c>
      <c r="Q303" s="18" t="str">
        <f>IF(O303="","",O303*VLOOKUP(N303,Parâmetros!$N$15:$Q$17,4,FALSE))</f>
        <v/>
      </c>
      <c r="R303" s="15"/>
    </row>
    <row r="304" spans="1:18">
      <c r="A304" s="15"/>
      <c r="B304" s="15"/>
      <c r="C304" s="15"/>
      <c r="D304" s="15"/>
      <c r="E304" s="15"/>
      <c r="F304" s="16" t="str">
        <f>IFERROR(VLOOKUP(E304,Parâmetros!$A$15:$B$18,2,FALSE),"")</f>
        <v/>
      </c>
      <c r="G304" s="16"/>
      <c r="H304" s="16" t="str">
        <f>IFERROR(VLOOKUP(G304,Parâmetros!$D$15:$E$18,2,FALSE),"")</f>
        <v/>
      </c>
      <c r="I304" s="16"/>
      <c r="J304" s="16" t="str">
        <f>IFERROR(VLOOKUP(I304,Parâmetros!$G$15:$H$18,2,FALSE),"")</f>
        <v/>
      </c>
      <c r="K304" s="16"/>
      <c r="L304" s="16" t="str">
        <f>IFERROR(VLOOKUP(K304,Parâmetros!$J$15:$K$18,2,FALSE),"")</f>
        <v/>
      </c>
      <c r="M304" s="17" t="str">
        <f>IF(COUNTA(E304,G304,I304,K304)&lt;4,"",F304*Parâmetros!$B$7+H304*Parâmetros!$B$8+J304*Parâmetros!$B$9+L304*Parâmetros!$B$10)</f>
        <v/>
      </c>
      <c r="N304" s="16" t="str">
        <f>IF(M304="","",IFERROR(VLOOKUP(M304,Parâmetros!$M$15:$O$17,2,TRUE),""))</f>
        <v/>
      </c>
      <c r="O304" s="18" t="str">
        <f>IF(N304="","",VLOOKUP(N304,Parâmetros!$N$15:$O$17,2,FALSE))</f>
        <v/>
      </c>
      <c r="P304" s="18" t="str">
        <f>IF(O304="","",O304*VLOOKUP(N304,Parâmetros!$N$15:$P$17,3,FALSE))</f>
        <v/>
      </c>
      <c r="Q304" s="18" t="str">
        <f>IF(O304="","",O304*VLOOKUP(N304,Parâmetros!$N$15:$Q$17,4,FALSE))</f>
        <v/>
      </c>
      <c r="R304" s="15"/>
    </row>
    <row r="305" spans="1:18">
      <c r="A305" s="15"/>
      <c r="B305" s="15"/>
      <c r="C305" s="15"/>
      <c r="D305" s="15"/>
      <c r="E305" s="15"/>
      <c r="F305" s="16" t="str">
        <f>IFERROR(VLOOKUP(E305,Parâmetros!$A$15:$B$18,2,FALSE),"")</f>
        <v/>
      </c>
      <c r="G305" s="16"/>
      <c r="H305" s="16" t="str">
        <f>IFERROR(VLOOKUP(G305,Parâmetros!$D$15:$E$18,2,FALSE),"")</f>
        <v/>
      </c>
      <c r="I305" s="16"/>
      <c r="J305" s="16" t="str">
        <f>IFERROR(VLOOKUP(I305,Parâmetros!$G$15:$H$18,2,FALSE),"")</f>
        <v/>
      </c>
      <c r="K305" s="16"/>
      <c r="L305" s="16" t="str">
        <f>IFERROR(VLOOKUP(K305,Parâmetros!$J$15:$K$18,2,FALSE),"")</f>
        <v/>
      </c>
      <c r="M305" s="17" t="str">
        <f>IF(COUNTA(E305,G305,I305,K305)&lt;4,"",F305*Parâmetros!$B$7+H305*Parâmetros!$B$8+J305*Parâmetros!$B$9+L305*Parâmetros!$B$10)</f>
        <v/>
      </c>
      <c r="N305" s="16" t="str">
        <f>IF(M305="","",IFERROR(VLOOKUP(M305,Parâmetros!$M$15:$O$17,2,TRUE),""))</f>
        <v/>
      </c>
      <c r="O305" s="18" t="str">
        <f>IF(N305="","",VLOOKUP(N305,Parâmetros!$N$15:$O$17,2,FALSE))</f>
        <v/>
      </c>
      <c r="P305" s="18" t="str">
        <f>IF(O305="","",O305*VLOOKUP(N305,Parâmetros!$N$15:$P$17,3,FALSE))</f>
        <v/>
      </c>
      <c r="Q305" s="18" t="str">
        <f>IF(O305="","",O305*VLOOKUP(N305,Parâmetros!$N$15:$Q$17,4,FALSE))</f>
        <v/>
      </c>
      <c r="R305" s="15"/>
    </row>
  </sheetData>
  <conditionalFormatting sqref="N6:N305">
    <cfRule type="containsText" dxfId="0" priority="1" operator="between" text="Tier Bronze">
      <formula>NOT(ISERROR(SEARCH("Tier Bronze",N6)))</formula>
    </cfRule>
    <cfRule type="containsText" dxfId="1" priority="2" operator="between" text="Tier Prata">
      <formula>NOT(ISERROR(SEARCH("Tier Prata",N6)))</formula>
    </cfRule>
    <cfRule type="containsText" dxfId="2" priority="3" operator="between" text="Tier Ouro">
      <formula>NOT(ISERROR(SEARCH("Tier Ouro",N6)))</formula>
    </cfRule>
  </conditionalFormatting>
  <dataValidations count="5">
    <dataValidation type="list" sqref="E6:E305">
      <formula1>Parâmetros!$A$15:$A$18</formula1>
    </dataValidation>
    <dataValidation type="list" sqref="G6:G305">
      <formula1>Parâmetros!$D$15:$D$18</formula1>
    </dataValidation>
    <dataValidation type="list" sqref="I6:I305">
      <formula1>Parâmetros!$G$15:$G$18</formula1>
    </dataValidation>
    <dataValidation type="list" sqref="K6:K305">
      <formula1>Parâmetros!$J$15:$J$18</formula1>
    </dataValidation>
    <dataValidation type="list" sqref="R6:R305">
      <formula1>"Ativo,Em implantação,Inativo"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48A00"/>
  </sheetPr>
  <dimension ref="A2:Q20"/>
  <sheetViews>
    <sheetView showGridLines="0" workbookViewId="0">
      <selection activeCell="E28" sqref="E28"/>
    </sheetView>
  </sheetViews>
  <sheetFormatPr defaultColWidth="9" defaultRowHeight="14.25"/>
  <cols>
    <col min="1" max="1" width="35" customWidth="1"/>
    <col min="2" max="2" width="12" customWidth="1"/>
    <col min="3" max="3" width="3" customWidth="1"/>
    <col min="4" max="4" width="30" customWidth="1"/>
    <col min="5" max="5" width="12" customWidth="1"/>
    <col min="6" max="6" width="3" customWidth="1"/>
    <col min="7" max="7" width="35" customWidth="1"/>
    <col min="8" max="8" width="12" customWidth="1"/>
    <col min="9" max="9" width="3" customWidth="1"/>
    <col min="10" max="10" width="40" customWidth="1"/>
    <col min="11" max="11" width="12" customWidth="1"/>
    <col min="13" max="13" width="18" customWidth="1"/>
    <col min="14" max="14" width="15" customWidth="1"/>
    <col min="15" max="17" width="18" customWidth="1"/>
  </cols>
  <sheetData>
    <row r="2" spans="1:17">
      <c r="A2" s="1" t="s">
        <v>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8" t="s">
        <v>68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6" t="s">
        <v>69</v>
      </c>
      <c r="B5" s="6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3" t="s">
        <v>31</v>
      </c>
      <c r="B6" s="3" t="s">
        <v>70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7" t="s">
        <v>35</v>
      </c>
      <c r="B7" s="9">
        <v>0.3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7" t="s">
        <v>36</v>
      </c>
      <c r="B8" s="9">
        <v>0.35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7" t="s">
        <v>37</v>
      </c>
      <c r="B9" s="9">
        <v>0.2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7" t="s">
        <v>38</v>
      </c>
      <c r="B10" s="9">
        <v>0.15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4" t="s">
        <v>71</v>
      </c>
      <c r="B11" s="10">
        <f>SUM(B7:B10)</f>
        <v>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12"/>
      <c r="N12" s="12"/>
      <c r="O12" s="12"/>
      <c r="P12" s="12"/>
      <c r="Q12" s="12"/>
    </row>
    <row r="13" spans="1:17">
      <c r="A13" s="6" t="s">
        <v>72</v>
      </c>
      <c r="B13" s="6"/>
      <c r="C13" s="2"/>
      <c r="D13" s="6" t="s">
        <v>36</v>
      </c>
      <c r="E13" s="6"/>
      <c r="F13" s="2"/>
      <c r="G13" s="6" t="s">
        <v>37</v>
      </c>
      <c r="H13" s="6"/>
      <c r="I13" s="2"/>
      <c r="J13" s="6" t="s">
        <v>73</v>
      </c>
      <c r="K13" s="6"/>
      <c r="L13" s="2"/>
      <c r="M13" s="6" t="s">
        <v>74</v>
      </c>
      <c r="N13" s="6"/>
      <c r="O13" s="6"/>
      <c r="P13" s="6"/>
      <c r="Q13" s="6"/>
    </row>
    <row r="14" spans="1:17">
      <c r="A14" s="3" t="s">
        <v>75</v>
      </c>
      <c r="B14" s="3" t="s">
        <v>33</v>
      </c>
      <c r="C14" s="2"/>
      <c r="D14" s="3" t="s">
        <v>75</v>
      </c>
      <c r="E14" s="3" t="s">
        <v>33</v>
      </c>
      <c r="F14" s="2"/>
      <c r="G14" s="3" t="s">
        <v>75</v>
      </c>
      <c r="H14" s="3" t="s">
        <v>33</v>
      </c>
      <c r="I14" s="2"/>
      <c r="J14" s="3" t="s">
        <v>75</v>
      </c>
      <c r="K14" s="3" t="s">
        <v>33</v>
      </c>
      <c r="L14" s="2"/>
      <c r="M14" s="3" t="s">
        <v>76</v>
      </c>
      <c r="N14" s="3" t="s">
        <v>7</v>
      </c>
      <c r="O14" s="3" t="s">
        <v>54</v>
      </c>
      <c r="P14" s="3" t="s">
        <v>77</v>
      </c>
      <c r="Q14" s="3" t="s">
        <v>78</v>
      </c>
    </row>
    <row r="15" spans="1:17">
      <c r="A15" s="7" t="s">
        <v>79</v>
      </c>
      <c r="B15" s="11">
        <v>2.5</v>
      </c>
      <c r="C15" s="2"/>
      <c r="D15" s="7" t="s">
        <v>80</v>
      </c>
      <c r="E15" s="11">
        <v>2.5</v>
      </c>
      <c r="F15" s="2"/>
      <c r="G15" s="7" t="s">
        <v>81</v>
      </c>
      <c r="H15" s="11">
        <v>2.5</v>
      </c>
      <c r="I15" s="2"/>
      <c r="J15" s="7" t="s">
        <v>82</v>
      </c>
      <c r="K15" s="11">
        <v>2.5</v>
      </c>
      <c r="L15" s="2"/>
      <c r="M15" s="13">
        <v>2.5</v>
      </c>
      <c r="N15" s="11" t="s">
        <v>11</v>
      </c>
      <c r="O15" s="14">
        <v>149</v>
      </c>
      <c r="P15" s="9">
        <v>0.5</v>
      </c>
      <c r="Q15" s="9">
        <v>0.5</v>
      </c>
    </row>
    <row r="16" spans="1:17">
      <c r="A16" s="7" t="s">
        <v>83</v>
      </c>
      <c r="B16" s="11">
        <v>3.5</v>
      </c>
      <c r="C16" s="2"/>
      <c r="D16" s="7" t="s">
        <v>84</v>
      </c>
      <c r="E16" s="11">
        <v>3.5</v>
      </c>
      <c r="F16" s="2"/>
      <c r="G16" s="7" t="s">
        <v>85</v>
      </c>
      <c r="H16" s="11">
        <v>3.5</v>
      </c>
      <c r="I16" s="2"/>
      <c r="J16" s="7" t="s">
        <v>86</v>
      </c>
      <c r="K16" s="11">
        <v>3.5</v>
      </c>
      <c r="L16" s="2"/>
      <c r="M16" s="13">
        <v>3.31</v>
      </c>
      <c r="N16" s="11" t="s">
        <v>12</v>
      </c>
      <c r="O16" s="14">
        <v>199</v>
      </c>
      <c r="P16" s="9">
        <v>0.5</v>
      </c>
      <c r="Q16" s="9">
        <v>0.5</v>
      </c>
    </row>
    <row r="17" spans="1:17">
      <c r="A17" s="7" t="s">
        <v>62</v>
      </c>
      <c r="B17" s="11">
        <v>4.5</v>
      </c>
      <c r="C17" s="2"/>
      <c r="D17" s="7" t="s">
        <v>87</v>
      </c>
      <c r="E17" s="11">
        <v>4.5</v>
      </c>
      <c r="F17" s="2"/>
      <c r="G17" s="7" t="s">
        <v>64</v>
      </c>
      <c r="H17" s="11">
        <v>4.5</v>
      </c>
      <c r="I17" s="2"/>
      <c r="J17" s="7" t="s">
        <v>88</v>
      </c>
      <c r="K17" s="11">
        <v>4.5</v>
      </c>
      <c r="L17" s="2"/>
      <c r="M17" s="13">
        <v>4.21</v>
      </c>
      <c r="N17" s="11" t="s">
        <v>13</v>
      </c>
      <c r="O17" s="14">
        <v>249</v>
      </c>
      <c r="P17" s="9">
        <v>0.5</v>
      </c>
      <c r="Q17" s="9">
        <v>0.5</v>
      </c>
    </row>
    <row r="18" spans="1:17">
      <c r="A18" s="7" t="s">
        <v>89</v>
      </c>
      <c r="B18" s="11">
        <v>5</v>
      </c>
      <c r="C18" s="2"/>
      <c r="D18" s="7" t="s">
        <v>63</v>
      </c>
      <c r="E18" s="11">
        <v>5</v>
      </c>
      <c r="F18" s="2"/>
      <c r="G18" s="7" t="s">
        <v>90</v>
      </c>
      <c r="H18" s="11">
        <v>5</v>
      </c>
      <c r="I18" s="2"/>
      <c r="J18" s="7" t="s">
        <v>65</v>
      </c>
      <c r="K18" s="11">
        <v>5</v>
      </c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8" t="s">
        <v>91</v>
      </c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8" t="s">
        <v>92</v>
      </c>
      <c r="N20" s="2"/>
      <c r="O20" s="2"/>
      <c r="P20" s="2"/>
      <c r="Q20" s="2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8C8D"/>
  </sheetPr>
  <dimension ref="A2:B15"/>
  <sheetViews>
    <sheetView showGridLines="0" workbookViewId="0">
      <selection activeCell="B18" sqref="B18"/>
    </sheetView>
  </sheetViews>
  <sheetFormatPr defaultColWidth="9" defaultRowHeight="14.25" outlineLevelCol="1"/>
  <cols>
    <col min="1" max="1" width="25" customWidth="1"/>
    <col min="2" max="2" width="85" customWidth="1"/>
  </cols>
  <sheetData>
    <row r="2" spans="1:2">
      <c r="A2" s="1" t="s">
        <v>93</v>
      </c>
      <c r="B2" s="2"/>
    </row>
    <row r="3" spans="1:2">
      <c r="A3" s="2"/>
      <c r="B3" s="2"/>
    </row>
    <row r="4" spans="1:2">
      <c r="A4" s="3" t="s">
        <v>94</v>
      </c>
      <c r="B4" s="3" t="s">
        <v>95</v>
      </c>
    </row>
    <row r="5" ht="35" customHeight="1" spans="1:2">
      <c r="A5" s="4" t="s">
        <v>96</v>
      </c>
      <c r="B5" s="5" t="s">
        <v>97</v>
      </c>
    </row>
    <row r="6" ht="35" customHeight="1" spans="1:2">
      <c r="A6" s="4" t="s">
        <v>98</v>
      </c>
      <c r="B6" s="5" t="s">
        <v>99</v>
      </c>
    </row>
    <row r="7" ht="35" customHeight="1" spans="1:2">
      <c r="A7" s="4" t="s">
        <v>100</v>
      </c>
      <c r="B7" s="5" t="s">
        <v>101</v>
      </c>
    </row>
    <row r="8" ht="35" customHeight="1" spans="1:2">
      <c r="A8" s="4" t="s">
        <v>102</v>
      </c>
      <c r="B8" s="5" t="s">
        <v>103</v>
      </c>
    </row>
    <row r="9" ht="35" customHeight="1" spans="1:2">
      <c r="A9" s="4" t="s">
        <v>104</v>
      </c>
      <c r="B9" s="5" t="s">
        <v>105</v>
      </c>
    </row>
    <row r="10" spans="1:2">
      <c r="A10" s="2"/>
      <c r="B10" s="2"/>
    </row>
    <row r="11" spans="1:2">
      <c r="A11" s="6" t="s">
        <v>106</v>
      </c>
      <c r="B11" s="6"/>
    </row>
    <row r="12" spans="1:2">
      <c r="A12" s="7" t="s">
        <v>35</v>
      </c>
      <c r="B12" s="7" t="s">
        <v>107</v>
      </c>
    </row>
    <row r="13" spans="1:2">
      <c r="A13" s="7" t="s">
        <v>36</v>
      </c>
      <c r="B13" s="7" t="s">
        <v>108</v>
      </c>
    </row>
    <row r="14" spans="1:2">
      <c r="A14" s="7" t="s">
        <v>37</v>
      </c>
      <c r="B14" s="7" t="s">
        <v>109</v>
      </c>
    </row>
    <row r="15" spans="1:2">
      <c r="A15" s="7" t="s">
        <v>38</v>
      </c>
      <c r="B15" s="7" t="s">
        <v>110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Resumo</vt:lpstr>
      <vt:lpstr>Calculadora</vt:lpstr>
      <vt:lpstr>Cadastro de Pontos</vt:lpstr>
      <vt:lpstr>Parâmetros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gustavo.resendes</cp:lastModifiedBy>
  <dcterms:created xsi:type="dcterms:W3CDTF">2026-09-14T16:39:59Z</dcterms:created>
  <dcterms:modified xsi:type="dcterms:W3CDTF">2026-09-14T16:43:38Z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CB1DB1027239423EBD0B4F026A469385_12</vt:lpwstr>
  </property>
  <property fmtid="{D5CDD505-2E9C-101B-9397-08002B2CF9AE}" pid="3" name="KSOProductBuildVer">
    <vt:lpwstr>1046-12.2.0.17545</vt:lpwstr>
  </property>
</Properties>
</file>